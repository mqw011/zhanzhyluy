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3-2024 МОНИТОРИНГ\"/>
    </mc:Choice>
  </mc:AlternateContent>
  <xr:revisionPtr revIDLastSave="0" documentId="13_ncr:1_{A71525D0-6B0C-4CCA-860E-4C9C4C50ED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Ортаңғы Бүлдіршін топ" sheetId="21" r:id="rId1"/>
    <sheet name="ересек Айгөлек топ" sheetId="12" r:id="rId2"/>
    <sheet name="Мектепалды Қарлығаш топ " sheetId="17" r:id="rId3"/>
    <sheet name="МДҰ әдіскерінің жинағы" sheetId="16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7" l="1"/>
  <c r="R9" i="21"/>
  <c r="Q9" i="21"/>
  <c r="P9" i="21"/>
  <c r="N9" i="21"/>
  <c r="M9" i="21"/>
  <c r="L9" i="21"/>
  <c r="K9" i="21"/>
  <c r="J9" i="21"/>
  <c r="J10" i="21" s="1"/>
  <c r="I9" i="21"/>
  <c r="H9" i="21"/>
  <c r="G9" i="21"/>
  <c r="G10" i="21" s="1"/>
  <c r="F9" i="21"/>
  <c r="F10" i="21" s="1"/>
  <c r="E9" i="21"/>
  <c r="D9" i="21"/>
  <c r="C9" i="21"/>
  <c r="C10" i="21" s="1"/>
  <c r="Q10" i="21" l="1"/>
  <c r="K10" i="21"/>
  <c r="P10" i="21"/>
  <c r="E10" i="21"/>
  <c r="I10" i="21"/>
  <c r="R10" i="21"/>
  <c r="L10" i="21"/>
  <c r="D10" i="21"/>
  <c r="H10" i="21"/>
  <c r="C12" i="16" l="1"/>
  <c r="C13" i="16" s="1"/>
  <c r="D12" i="16"/>
  <c r="E12" i="16"/>
  <c r="F12" i="16"/>
  <c r="G12" i="16"/>
  <c r="G13" i="16" s="1"/>
  <c r="H12" i="16"/>
  <c r="I12" i="16"/>
  <c r="J12" i="16"/>
  <c r="K12" i="16"/>
  <c r="K13" i="16" s="1"/>
  <c r="L12" i="16"/>
  <c r="M12" i="16"/>
  <c r="N12" i="16"/>
  <c r="O12" i="16"/>
  <c r="O13" i="16" s="1"/>
  <c r="P12" i="16"/>
  <c r="Q12" i="16"/>
  <c r="R12" i="16"/>
  <c r="O10" i="12"/>
  <c r="R13" i="16" l="1"/>
  <c r="N13" i="16"/>
  <c r="J13" i="16"/>
  <c r="Q13" i="16"/>
  <c r="M13" i="16"/>
  <c r="P13" i="16"/>
  <c r="L13" i="16"/>
  <c r="H13" i="16"/>
  <c r="F13" i="16"/>
  <c r="D13" i="16"/>
  <c r="I13" i="16"/>
  <c r="E13" i="16"/>
  <c r="R9" i="17"/>
  <c r="Q9" i="17"/>
  <c r="P9" i="17"/>
  <c r="N9" i="17"/>
  <c r="M9" i="17"/>
  <c r="L9" i="17"/>
  <c r="K9" i="17"/>
  <c r="J9" i="17"/>
  <c r="I9" i="17"/>
  <c r="H9" i="17"/>
  <c r="G9" i="17"/>
  <c r="F9" i="17"/>
  <c r="E9" i="17"/>
  <c r="C9" i="17"/>
  <c r="C10" i="17" l="1"/>
  <c r="D10" i="17"/>
  <c r="E10" i="17"/>
  <c r="F10" i="17"/>
  <c r="L10" i="17"/>
  <c r="N10" i="17"/>
  <c r="H10" i="17"/>
  <c r="P10" i="17"/>
  <c r="G10" i="17"/>
  <c r="O10" i="17"/>
  <c r="I10" i="17"/>
  <c r="Q10" i="17"/>
  <c r="K10" i="17"/>
  <c r="J10" i="17"/>
  <c r="R10" i="17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<sst xmlns="http://schemas.openxmlformats.org/spreadsheetml/2006/main" count="116" uniqueCount="25">
  <si>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</si>
  <si>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</si>
  <si>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</si>
  <si>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</si>
  <si>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</si>
  <si>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</si>
  <si>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</si>
  <si>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</si>
  <si>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</si>
  <si>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</si>
  <si>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</si>
  <si>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</si>
  <si>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</si>
  <si>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</si>
  <si>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</si>
  <si>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</si>
  <si>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</si>
  <si>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</si>
  <si>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</si>
  <si>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2023-2024 оқу жылы Аралық жинағы</t>
  </si>
  <si>
    <t>«Қарлығаш» мектепалды тобы</t>
  </si>
  <si>
    <t>«Бүлдіршін» ортаңғы тобы</t>
  </si>
  <si>
    <t>МДҰ атауы: ЖМ «Жан жылуы» бөбекжай-балабақшасы</t>
  </si>
  <si>
    <t xml:space="preserve">Әдіскерінің аты-жөні_Бердібек Ә. </t>
  </si>
  <si>
    <t>«Қарлығаш» Мектепалды тобы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</si>
</sst>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"/>
  <sheetViews>
    <sheetView workbookViewId="0">
      <selection activeCell="B8" sqref="B8"/>
    </sheetView>
  </sheetViews>
  <sheetFormatPr defaultRowHeight="14.4" x14ac:dyDescent="0.3"/>
  <cols>
    <col min="2" max="2" width="30.77734375" customWidth="1"/>
  </cols>
  <sheetData>
    <row r="2" spans="1:18" ht="15.6" x14ac:dyDescent="0.3">
      <c r="A2" s="29" t="s">
        <v>12</v>
      </c>
      <c r="B2" s="29"/>
      <c r="C2" s="19"/>
      <c r="D2" s="19"/>
      <c r="E2" s="19"/>
      <c r="F2" s="19"/>
      <c r="G2" s="19"/>
      <c r="H2" s="20" t="s">
        <v>22</v>
      </c>
      <c r="I2" s="20"/>
      <c r="J2" s="20"/>
      <c r="K2" s="20"/>
      <c r="L2" s="20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1" t="s">
        <v>0</v>
      </c>
      <c r="B6" s="26" t="s">
        <v>2</v>
      </c>
      <c r="C6" s="26" t="s">
        <v>8</v>
      </c>
      <c r="D6" s="26" t="s">
        <v>3</v>
      </c>
      <c r="E6" s="26"/>
      <c r="F6" s="26"/>
      <c r="G6" s="26" t="s">
        <v>6</v>
      </c>
      <c r="H6" s="26"/>
      <c r="I6" s="26"/>
      <c r="J6" s="26" t="s">
        <v>4</v>
      </c>
      <c r="K6" s="26"/>
      <c r="L6" s="26"/>
      <c r="M6" s="26" t="s">
        <v>7</v>
      </c>
      <c r="N6" s="26"/>
      <c r="O6" s="26"/>
      <c r="P6" s="26" t="s">
        <v>5</v>
      </c>
      <c r="Q6" s="26"/>
      <c r="R6" s="26"/>
    </row>
    <row r="7" spans="1:18" ht="93.6" x14ac:dyDescent="0.3">
      <c r="A7" s="31"/>
      <c r="B7" s="35"/>
      <c r="C7" s="26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15.6" x14ac:dyDescent="0.3">
      <c r="A8" s="14">
        <v>1</v>
      </c>
      <c r="B8" s="16" t="s">
        <v>21</v>
      </c>
      <c r="C8" s="15">
        <v>25</v>
      </c>
      <c r="D8" s="9">
        <v>9</v>
      </c>
      <c r="E8" s="9">
        <v>14</v>
      </c>
      <c r="F8" s="9">
        <v>2</v>
      </c>
      <c r="G8" s="9">
        <v>7</v>
      </c>
      <c r="H8" s="9">
        <v>15</v>
      </c>
      <c r="I8" s="9">
        <v>3</v>
      </c>
      <c r="J8" s="9">
        <v>8</v>
      </c>
      <c r="K8" s="9">
        <v>15</v>
      </c>
      <c r="L8" s="9">
        <v>2</v>
      </c>
      <c r="M8" s="9">
        <v>10</v>
      </c>
      <c r="N8" s="9">
        <v>13</v>
      </c>
      <c r="O8" s="9">
        <v>2</v>
      </c>
      <c r="P8" s="9">
        <v>9</v>
      </c>
      <c r="Q8" s="9">
        <v>14</v>
      </c>
      <c r="R8" s="9">
        <v>2</v>
      </c>
    </row>
    <row r="9" spans="1:18" ht="15.6" x14ac:dyDescent="0.3">
      <c r="A9" s="27" t="s">
        <v>1</v>
      </c>
      <c r="B9" s="32"/>
      <c r="C9" s="9">
        <f t="shared" ref="C9:N9" si="0">SUM(C8:C8)</f>
        <v>25</v>
      </c>
      <c r="D9" s="9">
        <f t="shared" si="0"/>
        <v>9</v>
      </c>
      <c r="E9" s="9">
        <f t="shared" si="0"/>
        <v>14</v>
      </c>
      <c r="F9" s="9">
        <f t="shared" si="0"/>
        <v>2</v>
      </c>
      <c r="G9" s="9">
        <f t="shared" si="0"/>
        <v>7</v>
      </c>
      <c r="H9" s="9">
        <f t="shared" si="0"/>
        <v>15</v>
      </c>
      <c r="I9" s="9">
        <f t="shared" si="0"/>
        <v>3</v>
      </c>
      <c r="J9" s="9">
        <f t="shared" si="0"/>
        <v>8</v>
      </c>
      <c r="K9" s="9">
        <f t="shared" si="0"/>
        <v>15</v>
      </c>
      <c r="L9" s="9">
        <f t="shared" si="0"/>
        <v>2</v>
      </c>
      <c r="M9" s="9">
        <f t="shared" si="0"/>
        <v>10</v>
      </c>
      <c r="N9" s="9">
        <f t="shared" si="0"/>
        <v>13</v>
      </c>
      <c r="O9" s="9">
        <v>8</v>
      </c>
      <c r="P9" s="9">
        <f>SUM(P8:P8)</f>
        <v>9</v>
      </c>
      <c r="Q9" s="9">
        <f>SUM(Q8:Q8)</f>
        <v>14</v>
      </c>
      <c r="R9" s="9">
        <f>SUM(R8:R8)</f>
        <v>2</v>
      </c>
    </row>
    <row r="10" spans="1:18" ht="15.6" x14ac:dyDescent="0.3">
      <c r="A10" s="33" t="s">
        <v>9</v>
      </c>
      <c r="B10" s="34"/>
      <c r="C10" s="11">
        <f>C9*100/C9</f>
        <v>100</v>
      </c>
      <c r="D10" s="10">
        <f>D9*100/C9</f>
        <v>36</v>
      </c>
      <c r="E10" s="10">
        <f>E9*100/C9</f>
        <v>56</v>
      </c>
      <c r="F10" s="10">
        <f>F9*100/C9</f>
        <v>8</v>
      </c>
      <c r="G10" s="10">
        <f>G9*100/C9</f>
        <v>28</v>
      </c>
      <c r="H10" s="10">
        <f>H9*100/C9</f>
        <v>60</v>
      </c>
      <c r="I10" s="10">
        <f>I9*100/C9</f>
        <v>12</v>
      </c>
      <c r="J10" s="10">
        <f>J9*100/C9</f>
        <v>32</v>
      </c>
      <c r="K10" s="10">
        <f>K9*100/C9</f>
        <v>60</v>
      </c>
      <c r="L10" s="10">
        <f>L9*100/C9</f>
        <v>8</v>
      </c>
      <c r="M10" s="10">
        <v>70</v>
      </c>
      <c r="N10" s="10">
        <v>20</v>
      </c>
      <c r="O10" s="10">
        <v>10</v>
      </c>
      <c r="P10" s="10">
        <f>P9*100/C9</f>
        <v>36</v>
      </c>
      <c r="Q10" s="10">
        <f>Q9*100/C9</f>
        <v>56</v>
      </c>
      <c r="R10" s="10">
        <f>R9*100/C9</f>
        <v>8</v>
      </c>
    </row>
  </sheetData>
  <mergeCells count="11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1"/>
  <sheetViews>
    <sheetView zoomScale="84" zoomScaleNormal="84" workbookViewId="0">
      <selection activeCell="H2" sqref="H2:L2"/>
    </sheetView>
  </sheetViews>
  <sheetFormatPr defaultRowHeight="14.4" x14ac:dyDescent="0.3"/>
  <cols>
    <col min="2" max="2" width="22.88671875" customWidth="1"/>
    <col min="3" max="3" width="12.5546875" customWidth="1"/>
    <col min="4" max="18" width="8.6640625" customWidth="1"/>
  </cols>
  <sheetData>
    <row r="2" spans="1:18" ht="15.6" x14ac:dyDescent="0.3">
      <c r="A2" s="29" t="s">
        <v>12</v>
      </c>
      <c r="B2" s="29"/>
      <c r="C2" s="1"/>
      <c r="D2" s="1"/>
      <c r="E2" s="1"/>
      <c r="F2" s="1"/>
      <c r="G2" s="1"/>
      <c r="H2" s="20" t="s">
        <v>22</v>
      </c>
      <c r="I2" s="20"/>
      <c r="J2" s="20"/>
      <c r="K2" s="20"/>
      <c r="L2" s="20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31" t="s">
        <v>0</v>
      </c>
      <c r="B6" s="26" t="s">
        <v>2</v>
      </c>
      <c r="C6" s="26" t="s">
        <v>8</v>
      </c>
      <c r="D6" s="26" t="s">
        <v>3</v>
      </c>
      <c r="E6" s="26"/>
      <c r="F6" s="26"/>
      <c r="G6" s="26" t="s">
        <v>6</v>
      </c>
      <c r="H6" s="26"/>
      <c r="I6" s="26"/>
      <c r="J6" s="26" t="s">
        <v>4</v>
      </c>
      <c r="K6" s="26"/>
      <c r="L6" s="26"/>
      <c r="M6" s="26" t="s">
        <v>7</v>
      </c>
      <c r="N6" s="26"/>
      <c r="O6" s="26"/>
      <c r="P6" s="26" t="s">
        <v>5</v>
      </c>
      <c r="Q6" s="26"/>
      <c r="R6" s="26"/>
    </row>
    <row r="7" spans="1:18" ht="114.75" customHeight="1" x14ac:dyDescent="0.3">
      <c r="A7" s="31"/>
      <c r="B7" s="26"/>
      <c r="C7" s="26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16" t="s">
        <v>18</v>
      </c>
      <c r="C8" s="15">
        <v>25</v>
      </c>
      <c r="D8" s="9">
        <v>13</v>
      </c>
      <c r="E8" s="9">
        <v>11</v>
      </c>
      <c r="F8" s="9">
        <v>1</v>
      </c>
      <c r="G8" s="9">
        <v>14</v>
      </c>
      <c r="H8" s="9">
        <v>10</v>
      </c>
      <c r="I8" s="9">
        <v>1</v>
      </c>
      <c r="J8" s="9">
        <v>14</v>
      </c>
      <c r="K8" s="9">
        <v>9</v>
      </c>
      <c r="L8" s="9">
        <v>2</v>
      </c>
      <c r="M8" s="9">
        <v>13</v>
      </c>
      <c r="N8" s="9">
        <v>10</v>
      </c>
      <c r="O8" s="9">
        <v>2</v>
      </c>
      <c r="P8" s="9">
        <v>14</v>
      </c>
      <c r="Q8" s="9">
        <v>9</v>
      </c>
      <c r="R8" s="9">
        <v>2</v>
      </c>
    </row>
    <row r="9" spans="1:18" ht="15.6" x14ac:dyDescent="0.3">
      <c r="A9" s="14"/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6" x14ac:dyDescent="0.3">
      <c r="A10" s="27" t="s">
        <v>1</v>
      </c>
      <c r="B10" s="28"/>
      <c r="C10" s="9">
        <f t="shared" ref="C10:R10" si="0">SUM(C8:C9)</f>
        <v>25</v>
      </c>
      <c r="D10" s="9">
        <f t="shared" si="0"/>
        <v>13</v>
      </c>
      <c r="E10" s="9">
        <f t="shared" si="0"/>
        <v>11</v>
      </c>
      <c r="F10" s="9">
        <f t="shared" si="0"/>
        <v>1</v>
      </c>
      <c r="G10" s="9">
        <f t="shared" si="0"/>
        <v>14</v>
      </c>
      <c r="H10" s="9">
        <f t="shared" si="0"/>
        <v>10</v>
      </c>
      <c r="I10" s="9">
        <f t="shared" si="0"/>
        <v>1</v>
      </c>
      <c r="J10" s="9">
        <f t="shared" si="0"/>
        <v>14</v>
      </c>
      <c r="K10" s="9">
        <f t="shared" si="0"/>
        <v>9</v>
      </c>
      <c r="L10" s="9">
        <f t="shared" si="0"/>
        <v>2</v>
      </c>
      <c r="M10" s="9">
        <f t="shared" si="0"/>
        <v>13</v>
      </c>
      <c r="N10" s="9">
        <f t="shared" si="0"/>
        <v>10</v>
      </c>
      <c r="O10" s="9">
        <f t="shared" si="0"/>
        <v>2</v>
      </c>
      <c r="P10" s="9">
        <f t="shared" si="0"/>
        <v>14</v>
      </c>
      <c r="Q10" s="9">
        <f t="shared" si="0"/>
        <v>9</v>
      </c>
      <c r="R10" s="9">
        <f t="shared" si="0"/>
        <v>2</v>
      </c>
    </row>
    <row r="11" spans="1:18" ht="21.75" customHeight="1" x14ac:dyDescent="0.3">
      <c r="A11" s="33" t="s">
        <v>9</v>
      </c>
      <c r="B11" s="34"/>
      <c r="C11" s="11">
        <f>C10*100/C10</f>
        <v>100</v>
      </c>
      <c r="D11" s="10">
        <f>D10*100/C10</f>
        <v>52</v>
      </c>
      <c r="E11" s="10">
        <f>E10*100/C10</f>
        <v>44</v>
      </c>
      <c r="F11" s="10">
        <f>F10*100/C10</f>
        <v>4</v>
      </c>
      <c r="G11" s="10">
        <f>G10*100/C10</f>
        <v>56</v>
      </c>
      <c r="H11" s="10">
        <f>H10*100/C10</f>
        <v>40</v>
      </c>
      <c r="I11" s="10">
        <f>I10*100/C10</f>
        <v>4</v>
      </c>
      <c r="J11" s="10">
        <f>J10*100/C10</f>
        <v>56</v>
      </c>
      <c r="K11" s="10">
        <f>K10*100/C10</f>
        <v>36</v>
      </c>
      <c r="L11" s="10">
        <f>L10*100/C10</f>
        <v>8</v>
      </c>
      <c r="M11" s="10">
        <f>M10*100/C10</f>
        <v>52</v>
      </c>
      <c r="N11" s="10">
        <f>N10*100/C10</f>
        <v>40</v>
      </c>
      <c r="O11" s="10">
        <f>O10*100/C10</f>
        <v>8</v>
      </c>
      <c r="P11" s="10">
        <f>P10*100/C10</f>
        <v>56</v>
      </c>
      <c r="Q11" s="10">
        <f>Q10*100/C10</f>
        <v>36</v>
      </c>
      <c r="R11" s="10">
        <f>R10*100/C10</f>
        <v>8</v>
      </c>
    </row>
  </sheetData>
  <mergeCells count="11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0"/>
  <sheetViews>
    <sheetView workbookViewId="0">
      <selection activeCell="Q8" sqref="Q8"/>
    </sheetView>
  </sheetViews>
  <sheetFormatPr defaultRowHeight="14.4" x14ac:dyDescent="0.3"/>
  <cols>
    <col min="1" max="1" width="4.88671875" customWidth="1"/>
    <col min="2" max="2" width="22.6640625" customWidth="1"/>
    <col min="3" max="18" width="7.109375" customWidth="1"/>
  </cols>
  <sheetData>
    <row r="2" spans="1:18" ht="15.6" x14ac:dyDescent="0.3">
      <c r="A2" s="29" t="s">
        <v>12</v>
      </c>
      <c r="B2" s="29"/>
      <c r="C2" s="12"/>
      <c r="D2" s="12"/>
      <c r="E2" s="12"/>
      <c r="F2" s="12"/>
      <c r="G2" s="20" t="s">
        <v>22</v>
      </c>
      <c r="H2" s="20"/>
      <c r="I2" s="20"/>
      <c r="J2" s="20"/>
      <c r="K2" s="20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1" t="s">
        <v>0</v>
      </c>
      <c r="B6" s="26" t="s">
        <v>2</v>
      </c>
      <c r="C6" s="26" t="s">
        <v>8</v>
      </c>
      <c r="D6" s="26" t="s">
        <v>3</v>
      </c>
      <c r="E6" s="26"/>
      <c r="F6" s="26"/>
      <c r="G6" s="26" t="s">
        <v>6</v>
      </c>
      <c r="H6" s="26"/>
      <c r="I6" s="26"/>
      <c r="J6" s="26" t="s">
        <v>4</v>
      </c>
      <c r="K6" s="26"/>
      <c r="L6" s="26"/>
      <c r="M6" s="26" t="s">
        <v>7</v>
      </c>
      <c r="N6" s="26"/>
      <c r="O6" s="26"/>
      <c r="P6" s="26" t="s">
        <v>5</v>
      </c>
      <c r="Q6" s="26"/>
      <c r="R6" s="26"/>
    </row>
    <row r="7" spans="1:18" ht="124.8" x14ac:dyDescent="0.3">
      <c r="A7" s="31"/>
      <c r="B7" s="26"/>
      <c r="C7" s="26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16" t="s">
        <v>24</v>
      </c>
      <c r="C8" s="15">
        <v>25</v>
      </c>
      <c r="D8" s="9">
        <v>13</v>
      </c>
      <c r="E8" s="9">
        <v>11</v>
      </c>
      <c r="F8" s="9">
        <v>1</v>
      </c>
      <c r="G8" s="9">
        <v>14</v>
      </c>
      <c r="H8" s="9">
        <v>10</v>
      </c>
      <c r="I8" s="9">
        <v>1</v>
      </c>
      <c r="J8" s="9">
        <v>14</v>
      </c>
      <c r="K8" s="9">
        <v>9</v>
      </c>
      <c r="L8" s="9">
        <v>2</v>
      </c>
      <c r="M8" s="9">
        <v>13</v>
      </c>
      <c r="N8" s="9">
        <v>10</v>
      </c>
      <c r="O8" s="9">
        <v>2</v>
      </c>
      <c r="P8" s="9">
        <v>14</v>
      </c>
      <c r="Q8" s="9">
        <v>9</v>
      </c>
      <c r="R8" s="9">
        <v>2</v>
      </c>
    </row>
    <row r="9" spans="1:18" ht="15.6" x14ac:dyDescent="0.3">
      <c r="A9" s="27" t="s">
        <v>1</v>
      </c>
      <c r="B9" s="28"/>
      <c r="C9" s="9">
        <f t="shared" ref="C9:N9" si="0">SUM(C8:C8)</f>
        <v>25</v>
      </c>
      <c r="D9" s="9">
        <f t="shared" si="0"/>
        <v>13</v>
      </c>
      <c r="E9" s="9">
        <f t="shared" si="0"/>
        <v>11</v>
      </c>
      <c r="F9" s="9">
        <f t="shared" si="0"/>
        <v>1</v>
      </c>
      <c r="G9" s="9">
        <f t="shared" si="0"/>
        <v>14</v>
      </c>
      <c r="H9" s="9">
        <f t="shared" si="0"/>
        <v>10</v>
      </c>
      <c r="I9" s="9">
        <f t="shared" si="0"/>
        <v>1</v>
      </c>
      <c r="J9" s="9">
        <f t="shared" si="0"/>
        <v>14</v>
      </c>
      <c r="K9" s="9">
        <f t="shared" si="0"/>
        <v>9</v>
      </c>
      <c r="L9" s="9">
        <f t="shared" si="0"/>
        <v>2</v>
      </c>
      <c r="M9" s="9">
        <f t="shared" si="0"/>
        <v>13</v>
      </c>
      <c r="N9" s="9">
        <f t="shared" si="0"/>
        <v>10</v>
      </c>
      <c r="O9" s="9">
        <v>3</v>
      </c>
      <c r="P9" s="9">
        <f>SUM(P8:P8)</f>
        <v>14</v>
      </c>
      <c r="Q9" s="9">
        <f>SUM(Q8:Q8)</f>
        <v>9</v>
      </c>
      <c r="R9" s="9">
        <f>SUM(R8:R8)</f>
        <v>2</v>
      </c>
    </row>
    <row r="10" spans="1:18" ht="15.6" x14ac:dyDescent="0.3">
      <c r="A10" s="33" t="s">
        <v>9</v>
      </c>
      <c r="B10" s="34"/>
      <c r="C10" s="11">
        <f>C9*100/C9</f>
        <v>100</v>
      </c>
      <c r="D10" s="10">
        <f>D9*100/C9</f>
        <v>52</v>
      </c>
      <c r="E10" s="10">
        <f>E9*100/C9</f>
        <v>44</v>
      </c>
      <c r="F10" s="10">
        <f>F9*100/C9</f>
        <v>4</v>
      </c>
      <c r="G10" s="10">
        <f>G9*100/C9</f>
        <v>56</v>
      </c>
      <c r="H10" s="10">
        <f>H9*100/C9</f>
        <v>40</v>
      </c>
      <c r="I10" s="10">
        <f>I9*100/C9</f>
        <v>4</v>
      </c>
      <c r="J10" s="10">
        <f>J9*100/C9</f>
        <v>56</v>
      </c>
      <c r="K10" s="10">
        <f>K9*100/C9</f>
        <v>36</v>
      </c>
      <c r="L10" s="10">
        <f>L9*100/C9</f>
        <v>8</v>
      </c>
      <c r="M10" s="10">
        <v>78</v>
      </c>
      <c r="N10" s="10">
        <f>N9*100/C9</f>
        <v>40</v>
      </c>
      <c r="O10" s="10">
        <f>O9*100/C9</f>
        <v>12</v>
      </c>
      <c r="P10" s="10">
        <f>P9*100/C9</f>
        <v>56</v>
      </c>
      <c r="Q10" s="10">
        <f>Q9*100/C9</f>
        <v>36</v>
      </c>
      <c r="R10" s="10">
        <f>R9*100/C9</f>
        <v>8</v>
      </c>
    </row>
  </sheetData>
  <mergeCells count="11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1"/>
  <sheetViews>
    <sheetView tabSelected="1" workbookViewId="0">
      <selection activeCell="C11" sqref="C11:R11"/>
    </sheetView>
  </sheetViews>
  <sheetFormatPr defaultRowHeight="14.4" x14ac:dyDescent="0.3"/>
  <cols>
    <col min="1" max="1" width="5.33203125" customWidth="1"/>
    <col min="2" max="2" width="19.44140625" customWidth="1"/>
    <col min="3" max="3" width="9.5546875" bestFit="1" customWidth="1"/>
    <col min="4" max="11" width="9.44140625" bestFit="1" customWidth="1"/>
    <col min="12" max="12" width="10.6640625" customWidth="1"/>
    <col min="13" max="18" width="9.44140625" bestFit="1" customWidth="1"/>
  </cols>
  <sheetData>
    <row r="1" spans="1:18" x14ac:dyDescent="0.3">
      <c r="B1" s="21" t="s">
        <v>19</v>
      </c>
      <c r="O1" s="36" t="s">
        <v>11</v>
      </c>
      <c r="P1" s="36"/>
    </row>
    <row r="2" spans="1:18" ht="15.6" x14ac:dyDescent="0.3">
      <c r="B2" s="5" t="s">
        <v>12</v>
      </c>
      <c r="C2" s="5"/>
      <c r="D2" s="1"/>
      <c r="F2" s="1"/>
      <c r="G2" s="20" t="s">
        <v>22</v>
      </c>
      <c r="H2" s="20"/>
      <c r="I2" s="20"/>
      <c r="J2" s="20"/>
      <c r="K2" s="20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30" t="s">
        <v>23</v>
      </c>
      <c r="I4" s="30"/>
      <c r="J4" s="30"/>
      <c r="K4" s="30"/>
      <c r="L4" s="30"/>
      <c r="M4" s="30"/>
      <c r="N4" s="30"/>
      <c r="O4" s="2"/>
      <c r="P4" s="2"/>
      <c r="Q4" s="2"/>
      <c r="R4" s="2"/>
    </row>
    <row r="5" spans="1:18" ht="15.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3">
      <c r="A7" s="25"/>
      <c r="B7" s="37" t="s">
        <v>14</v>
      </c>
      <c r="C7" s="26" t="s">
        <v>13</v>
      </c>
      <c r="D7" s="26" t="s">
        <v>3</v>
      </c>
      <c r="E7" s="26"/>
      <c r="F7" s="26"/>
      <c r="G7" s="26" t="s">
        <v>6</v>
      </c>
      <c r="H7" s="26"/>
      <c r="I7" s="26"/>
      <c r="J7" s="26" t="s">
        <v>4</v>
      </c>
      <c r="K7" s="26"/>
      <c r="L7" s="26"/>
      <c r="M7" s="26" t="s">
        <v>7</v>
      </c>
      <c r="N7" s="26"/>
      <c r="O7" s="26"/>
      <c r="P7" s="26" t="s">
        <v>5</v>
      </c>
      <c r="Q7" s="26"/>
      <c r="R7" s="26"/>
    </row>
    <row r="8" spans="1:18" ht="62.4" x14ac:dyDescent="0.3">
      <c r="A8" s="25"/>
      <c r="B8" s="38"/>
      <c r="C8" s="26"/>
      <c r="D8" s="4" t="s">
        <v>15</v>
      </c>
      <c r="E8" s="4" t="s">
        <v>16</v>
      </c>
      <c r="F8" s="4" t="s">
        <v>17</v>
      </c>
      <c r="G8" s="4" t="s">
        <v>15</v>
      </c>
      <c r="H8" s="4" t="s">
        <v>16</v>
      </c>
      <c r="I8" s="4" t="s">
        <v>17</v>
      </c>
      <c r="J8" s="4" t="s">
        <v>15</v>
      </c>
      <c r="K8" s="4" t="s">
        <v>16</v>
      </c>
      <c r="L8" s="4" t="s">
        <v>17</v>
      </c>
      <c r="M8" s="4" t="s">
        <v>15</v>
      </c>
      <c r="N8" s="4" t="s">
        <v>16</v>
      </c>
      <c r="O8" s="4" t="s">
        <v>17</v>
      </c>
      <c r="P8" s="4" t="s">
        <v>15</v>
      </c>
      <c r="Q8" s="4" t="s">
        <v>16</v>
      </c>
      <c r="R8" s="4" t="s">
        <v>17</v>
      </c>
    </row>
    <row r="9" spans="1:18" ht="31.2" x14ac:dyDescent="0.3">
      <c r="A9" s="25">
        <v>4</v>
      </c>
      <c r="B9" s="22" t="s">
        <v>21</v>
      </c>
      <c r="C9" s="9">
        <v>25</v>
      </c>
      <c r="D9" s="9">
        <v>9</v>
      </c>
      <c r="E9" s="9">
        <v>14</v>
      </c>
      <c r="F9" s="9">
        <v>2</v>
      </c>
      <c r="G9" s="9">
        <v>7</v>
      </c>
      <c r="H9" s="9">
        <v>15</v>
      </c>
      <c r="I9" s="9">
        <v>3</v>
      </c>
      <c r="J9" s="9">
        <v>8</v>
      </c>
      <c r="K9" s="9">
        <v>15</v>
      </c>
      <c r="L9" s="9">
        <v>2</v>
      </c>
      <c r="M9" s="9">
        <v>10</v>
      </c>
      <c r="N9" s="9">
        <v>13</v>
      </c>
      <c r="O9" s="9">
        <v>2</v>
      </c>
      <c r="P9" s="9">
        <v>9</v>
      </c>
      <c r="Q9" s="9">
        <v>14</v>
      </c>
      <c r="R9" s="9">
        <v>2</v>
      </c>
    </row>
    <row r="10" spans="1:18" ht="31.2" x14ac:dyDescent="0.3">
      <c r="A10" s="25">
        <v>5</v>
      </c>
      <c r="B10" s="22" t="s">
        <v>18</v>
      </c>
      <c r="C10" s="15">
        <v>25</v>
      </c>
      <c r="D10" s="9">
        <v>14</v>
      </c>
      <c r="E10" s="9">
        <v>10</v>
      </c>
      <c r="F10" s="9">
        <v>1</v>
      </c>
      <c r="G10" s="9">
        <v>14</v>
      </c>
      <c r="H10" s="9">
        <v>10</v>
      </c>
      <c r="I10" s="9">
        <v>1</v>
      </c>
      <c r="J10" s="9">
        <v>14</v>
      </c>
      <c r="K10" s="9">
        <v>9</v>
      </c>
      <c r="L10" s="9">
        <v>2</v>
      </c>
      <c r="M10" s="9">
        <v>13</v>
      </c>
      <c r="N10" s="9">
        <v>10</v>
      </c>
      <c r="O10" s="9">
        <v>2</v>
      </c>
      <c r="P10" s="9">
        <v>14</v>
      </c>
      <c r="Q10" s="9">
        <v>9</v>
      </c>
      <c r="R10" s="9">
        <v>2</v>
      </c>
    </row>
    <row r="11" spans="1:18" ht="31.2" x14ac:dyDescent="0.3">
      <c r="A11" s="25">
        <v>6</v>
      </c>
      <c r="B11" s="22" t="s">
        <v>20</v>
      </c>
      <c r="C11" s="15">
        <v>25</v>
      </c>
      <c r="D11" s="9">
        <v>13</v>
      </c>
      <c r="E11" s="9">
        <v>11</v>
      </c>
      <c r="F11" s="9">
        <v>1</v>
      </c>
      <c r="G11" s="9">
        <v>14</v>
      </c>
      <c r="H11" s="9">
        <v>10</v>
      </c>
      <c r="I11" s="9">
        <v>1</v>
      </c>
      <c r="J11" s="9">
        <v>14</v>
      </c>
      <c r="K11" s="9">
        <v>9</v>
      </c>
      <c r="L11" s="9">
        <v>2</v>
      </c>
      <c r="M11" s="9">
        <v>13</v>
      </c>
      <c r="N11" s="9">
        <v>10</v>
      </c>
      <c r="O11" s="9">
        <v>2</v>
      </c>
      <c r="P11" s="9">
        <v>14</v>
      </c>
      <c r="Q11" s="9">
        <v>9</v>
      </c>
      <c r="R11" s="9">
        <v>2</v>
      </c>
    </row>
    <row r="12" spans="1:18" ht="15.6" x14ac:dyDescent="0.3">
      <c r="A12" s="25"/>
      <c r="B12" s="23" t="s">
        <v>1</v>
      </c>
      <c r="C12" s="15">
        <f>SUM(C9:C11)</f>
        <v>75</v>
      </c>
      <c r="D12" s="9">
        <f>SUM(D9:D11)</f>
        <v>36</v>
      </c>
      <c r="E12" s="9">
        <f>SUM(E9:E11)</f>
        <v>35</v>
      </c>
      <c r="F12" s="9">
        <f>SUM(F9:F11)</f>
        <v>4</v>
      </c>
      <c r="G12" s="9">
        <f>SUM(G9:G11)</f>
        <v>35</v>
      </c>
      <c r="H12" s="9">
        <f>SUM(H9:H11)</f>
        <v>35</v>
      </c>
      <c r="I12" s="9">
        <f>SUM(I9:I11)</f>
        <v>5</v>
      </c>
      <c r="J12" s="9">
        <f>SUM(J9:J11)</f>
        <v>36</v>
      </c>
      <c r="K12" s="9">
        <f>SUM(K9:K11)</f>
        <v>33</v>
      </c>
      <c r="L12" s="9">
        <f>SUM(L9:L11)</f>
        <v>6</v>
      </c>
      <c r="M12" s="9">
        <f>SUM(M9:M11)</f>
        <v>36</v>
      </c>
      <c r="N12" s="9">
        <f>SUM(N9:N11)</f>
        <v>33</v>
      </c>
      <c r="O12" s="9">
        <f>SUM(O9:O11)</f>
        <v>6</v>
      </c>
      <c r="P12" s="9">
        <f>SUM(P9:P11)</f>
        <v>37</v>
      </c>
      <c r="Q12" s="9">
        <f>SUM(Q9:Q11)</f>
        <v>32</v>
      </c>
      <c r="R12" s="9">
        <f>SUM(R9:R11)</f>
        <v>6</v>
      </c>
    </row>
    <row r="13" spans="1:18" ht="17.25" customHeight="1" x14ac:dyDescent="0.3">
      <c r="A13" s="25"/>
      <c r="B13" s="24" t="s">
        <v>10</v>
      </c>
      <c r="C13" s="11">
        <f>C12*100/C12</f>
        <v>100</v>
      </c>
      <c r="D13" s="10">
        <f>D12*100/C12</f>
        <v>48</v>
      </c>
      <c r="E13" s="10">
        <f>E12*100/C12</f>
        <v>46.666666666666664</v>
      </c>
      <c r="F13" s="10">
        <f>F12*100/C12</f>
        <v>5.333333333333333</v>
      </c>
      <c r="G13" s="10">
        <f>G12*100/C12</f>
        <v>46.666666666666664</v>
      </c>
      <c r="H13" s="10">
        <f>H12*100/C12</f>
        <v>46.666666666666664</v>
      </c>
      <c r="I13" s="10">
        <f>I12*100/C12</f>
        <v>6.666666666666667</v>
      </c>
      <c r="J13" s="10">
        <f>J12*100/C12</f>
        <v>48</v>
      </c>
      <c r="K13" s="10">
        <f>K12*100/C12</f>
        <v>44</v>
      </c>
      <c r="L13" s="10">
        <f>L12*100/C12</f>
        <v>8</v>
      </c>
      <c r="M13" s="10">
        <f>M12*100/C12</f>
        <v>48</v>
      </c>
      <c r="N13" s="10">
        <f>N12*100/C12</f>
        <v>44</v>
      </c>
      <c r="O13" s="10">
        <f>O12*100/C12</f>
        <v>8</v>
      </c>
      <c r="P13" s="10">
        <f>P12*100/C12</f>
        <v>49.333333333333336</v>
      </c>
      <c r="Q13" s="10">
        <f>Q12*100/C12</f>
        <v>42.666666666666664</v>
      </c>
      <c r="R13" s="10">
        <f>R12*100/C12</f>
        <v>8</v>
      </c>
    </row>
    <row r="14" spans="1:18" ht="15.6" x14ac:dyDescent="0.3">
      <c r="A14" s="25"/>
      <c r="B14" s="2"/>
      <c r="C14" s="2"/>
      <c r="D14" s="2"/>
      <c r="E14" s="2"/>
      <c r="F14" s="2"/>
      <c r="G14" s="13"/>
      <c r="H14" s="13"/>
      <c r="I14" s="13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ht="15.6" x14ac:dyDescent="0.3"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ht="15.6" x14ac:dyDescent="0.3"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9">
    <mergeCell ref="O1:P1"/>
    <mergeCell ref="P7:R7"/>
    <mergeCell ref="H4:N4"/>
    <mergeCell ref="B7:B8"/>
    <mergeCell ref="C7:C8"/>
    <mergeCell ref="D7:F7"/>
    <mergeCell ref="G7:I7"/>
    <mergeCell ref="J7:L7"/>
    <mergeCell ref="M7:O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Бүлдіршін топ</vt:lpstr>
      <vt:lpstr>ересек Айгөлек топ</vt:lpstr>
      <vt:lpstr>Мектепалды Қарлығаш топ 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2026-01-15T04:10:34Z</dcterms:modified>
</cp:coreProperties>
</file>