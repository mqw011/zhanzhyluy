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esktop\ЖАН ЖЫЛУЫ АТИССТАЦИЯ\7.МОНИТОРТИНГ 3 ЖЫЛ\2024-2025 МОНИТОРИНГ\"/>
    </mc:Choice>
  </mc:AlternateContent>
  <xr:revisionPtr revIDLastSave="0" documentId="13_ncr:1_{79F9E249-86E8-4090-B852-02C4F17D3D17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«Бүлдіршін» ортаңғы тобы" sheetId="21" r:id="rId1"/>
    <sheet name="«Айгөлек» ересек тобы" sheetId="12" r:id="rId2"/>
    <sheet name="«Қарлығаш» мектепалды тобы" sheetId="17" r:id="rId3"/>
    <sheet name="МДҰ әдіскерінің жинағы" sheetId="16" r:id="rId4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9" i="21" l="1"/>
  <c r="Q9" i="21"/>
  <c r="P9" i="21"/>
  <c r="N9" i="21"/>
  <c r="M9" i="21"/>
  <c r="L9" i="21"/>
  <c r="K9" i="21"/>
  <c r="J9" i="21"/>
  <c r="I9" i="21"/>
  <c r="H9" i="21"/>
  <c r="G9" i="21"/>
  <c r="F9" i="21"/>
  <c r="F10" i="21" s="1"/>
  <c r="E9" i="21"/>
  <c r="D9" i="21"/>
  <c r="C9" i="21"/>
  <c r="C10" i="21" s="1"/>
  <c r="J10" i="21" l="1"/>
  <c r="G10" i="21"/>
  <c r="K10" i="21"/>
  <c r="P10" i="21"/>
  <c r="Q10" i="21"/>
  <c r="E10" i="21"/>
  <c r="I10" i="21"/>
  <c r="R10" i="21"/>
  <c r="L10" i="21"/>
  <c r="D10" i="21"/>
  <c r="H10" i="21"/>
  <c r="C12" i="16" l="1"/>
  <c r="C13" i="16" s="1"/>
  <c r="D12" i="16"/>
  <c r="E12" i="16"/>
  <c r="F12" i="16"/>
  <c r="G12" i="16"/>
  <c r="G13" i="16" s="1"/>
  <c r="H12" i="16"/>
  <c r="I12" i="16"/>
  <c r="J12" i="16"/>
  <c r="K12" i="16"/>
  <c r="K13" i="16" s="1"/>
  <c r="L12" i="16"/>
  <c r="M12" i="16"/>
  <c r="N12" i="16"/>
  <c r="O12" i="16"/>
  <c r="O13" i="16" s="1"/>
  <c r="P12" i="16"/>
  <c r="Q12" i="16"/>
  <c r="R12" i="16"/>
  <c r="O10" i="12"/>
  <c r="R13" i="16" l="1"/>
  <c r="N13" i="16"/>
  <c r="J13" i="16"/>
  <c r="Q13" i="16"/>
  <c r="M13" i="16"/>
  <c r="P13" i="16"/>
  <c r="L13" i="16"/>
  <c r="H13" i="16"/>
  <c r="F13" i="16"/>
  <c r="D13" i="16"/>
  <c r="I13" i="16"/>
  <c r="E13" i="16"/>
  <c r="R9" i="17"/>
  <c r="Q9" i="17"/>
  <c r="P9" i="17"/>
  <c r="N9" i="17"/>
  <c r="M9" i="17"/>
  <c r="L9" i="17"/>
  <c r="K9" i="17"/>
  <c r="J9" i="17"/>
  <c r="I9" i="17"/>
  <c r="H9" i="17"/>
  <c r="G9" i="17"/>
  <c r="F9" i="17"/>
  <c r="E9" i="17"/>
  <c r="E10" i="17" s="1"/>
  <c r="D9" i="17"/>
  <c r="C9" i="17"/>
  <c r="C10" i="17" s="1"/>
  <c r="D10" i="17" l="1"/>
  <c r="F10" i="17"/>
  <c r="L10" i="17"/>
  <c r="N10" i="17"/>
  <c r="H10" i="17"/>
  <c r="P10" i="17"/>
  <c r="G10" i="17"/>
  <c r="O10" i="17"/>
  <c r="I10" i="17"/>
  <c r="Q10" i="17"/>
  <c r="K10" i="17"/>
  <c r="J10" i="17"/>
  <c r="R10" i="17"/>
  <c r="R10" i="12" l="1"/>
  <c r="Q10" i="12"/>
  <c r="P10" i="12"/>
  <c r="N10" i="12"/>
  <c r="L10" i="12"/>
  <c r="M10" i="12"/>
  <c r="K10" i="12"/>
  <c r="J10" i="12"/>
  <c r="I10" i="12"/>
  <c r="H10" i="12"/>
  <c r="G10" i="12"/>
  <c r="F10" i="12"/>
  <c r="E10" i="12"/>
  <c r="D10" i="12"/>
  <c r="C10" i="12" l="1"/>
  <c r="C11" i="12" l="1"/>
  <c r="P11" i="12" l="1"/>
  <c r="E11" i="12"/>
  <c r="I11" i="12"/>
  <c r="M11" i="12"/>
  <c r="Q11" i="12"/>
  <c r="F11" i="12"/>
  <c r="J11" i="12"/>
  <c r="N11" i="12"/>
  <c r="R11" i="12"/>
  <c r="G11" i="12"/>
  <c r="K11" i="12"/>
  <c r="O11" i="12"/>
  <c r="D11" i="12"/>
  <c r="H11" i="12"/>
  <c r="L11" i="12"/>
</calcChain>
</file>

<file path=xl/sharedStrings.xml><?xml version="1.0" encoding="utf-8"?>
<sst xmlns="http://schemas.openxmlformats.org/spreadsheetml/2006/main" count="118" uniqueCount="24">
  <si>
    <t>№</t>
  </si>
  <si>
    <t>Барлығы</t>
  </si>
  <si>
    <t>Топтың атауы</t>
  </si>
  <si>
    <t xml:space="preserve"> Физикалық қасиеттерді дамыту</t>
  </si>
  <si>
    <t xml:space="preserve"> Танымдық және зияткерлік дағдыларды дамыту </t>
  </si>
  <si>
    <t>Әлеуметтік-эмоционалды дағдыларды қалыптастыру</t>
  </si>
  <si>
    <t xml:space="preserve">Коммуникативтік дағдыларды дамыту </t>
  </si>
  <si>
    <t xml:space="preserve">Балалардың шығармашылық дағдыларын, зерттеу іс-әрекетін дамыту </t>
  </si>
  <si>
    <t>Балалар саны</t>
  </si>
  <si>
    <t>%</t>
  </si>
  <si>
    <t xml:space="preserve"> %</t>
  </si>
  <si>
    <t>Приложение 3</t>
  </si>
  <si>
    <t>МДҰ бойынша әдіскерінің жинағы</t>
  </si>
  <si>
    <t xml:space="preserve">Балалар саны </t>
  </si>
  <si>
    <t xml:space="preserve">Жас топтары </t>
  </si>
  <si>
    <t>олардың ішінде  жоғары деңгей</t>
  </si>
  <si>
    <t>олардың ішінде орташа деңгей</t>
  </si>
  <si>
    <t>олардың ішінде   төмен деңгей</t>
  </si>
  <si>
    <t>«Айгөлек» ересек тобы</t>
  </si>
  <si>
    <t>МДҰ атауы: ЖМ «Жан жылуы» бөбекжай-балабақшасы</t>
  </si>
  <si>
    <t>Әдіскерінің аты-жөні__Бердібек Ә.</t>
  </si>
  <si>
    <t>2024-2025 оқу жылы Аралық жинағы</t>
  </si>
  <si>
    <t>«Бүлдіршін» ортаңғы тобы</t>
  </si>
  <si>
    <t>«Қарлығаш» мектепалды тобы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</si>
</sst>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11"/>
      <color rgb="FFFF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2" borderId="0" xfId="0" applyFont="1" applyFill="1"/>
    <xf numFmtId="0" fontId="1" fillId="0" borderId="2" xfId="0" applyFont="1" applyBorder="1"/>
    <xf numFmtId="0" fontId="1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vertical="top" wrapText="1"/>
    </xf>
    <xf numFmtId="0" fontId="1" fillId="0" borderId="6" xfId="0" applyFont="1" applyBorder="1"/>
    <xf numFmtId="0" fontId="1" fillId="0" borderId="2" xfId="0" applyFont="1" applyBorder="1" applyAlignment="1">
      <alignment vertical="top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6" fillId="0" borderId="0" xfId="0" applyFont="1"/>
    <xf numFmtId="0" fontId="5" fillId="0" borderId="3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vertical="center" wrapText="1"/>
    </xf>
    <xf numFmtId="0" fontId="0" fillId="0" borderId="1" xfId="0" applyBorder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 wrapText="1"/>
    </xf>
    <xf numFmtId="0" fontId="2" fillId="0" borderId="4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тақырыб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R10"/>
  <sheetViews>
    <sheetView workbookViewId="0">
      <selection activeCell="C8" sqref="C8:R8"/>
    </sheetView>
  </sheetViews>
  <sheetFormatPr defaultRowHeight="14.4" x14ac:dyDescent="0.3"/>
  <cols>
    <col min="2" max="2" width="30" customWidth="1"/>
  </cols>
  <sheetData>
    <row r="2" spans="1:18" ht="15.6" x14ac:dyDescent="0.3">
      <c r="A2" s="34" t="s">
        <v>12</v>
      </c>
      <c r="B2" s="34"/>
      <c r="C2" s="19"/>
      <c r="D2" s="19"/>
      <c r="E2" s="19"/>
      <c r="F2" s="19"/>
      <c r="G2" s="19"/>
      <c r="H2" s="27" t="s">
        <v>19</v>
      </c>
      <c r="I2" s="28"/>
      <c r="J2" s="28"/>
      <c r="K2" s="28"/>
      <c r="L2" s="28"/>
      <c r="M2" s="2"/>
      <c r="N2" s="2"/>
      <c r="O2" s="2"/>
      <c r="P2" s="2"/>
      <c r="Q2" s="2"/>
      <c r="R2" s="2"/>
    </row>
    <row r="3" spans="1:18" ht="15.6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15.6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ht="15.6" x14ac:dyDescent="0.3">
      <c r="A5" s="2"/>
      <c r="B5" s="3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ht="15.6" x14ac:dyDescent="0.3">
      <c r="A6" s="35" t="s">
        <v>0</v>
      </c>
      <c r="B6" s="29" t="s">
        <v>2</v>
      </c>
      <c r="C6" s="29" t="s">
        <v>8</v>
      </c>
      <c r="D6" s="29" t="s">
        <v>3</v>
      </c>
      <c r="E6" s="29"/>
      <c r="F6" s="29"/>
      <c r="G6" s="29" t="s">
        <v>6</v>
      </c>
      <c r="H6" s="29"/>
      <c r="I6" s="29"/>
      <c r="J6" s="29" t="s">
        <v>4</v>
      </c>
      <c r="K6" s="29"/>
      <c r="L6" s="29"/>
      <c r="M6" s="29" t="s">
        <v>7</v>
      </c>
      <c r="N6" s="29"/>
      <c r="O6" s="29"/>
      <c r="P6" s="29" t="s">
        <v>5</v>
      </c>
      <c r="Q6" s="29"/>
      <c r="R6" s="29"/>
    </row>
    <row r="7" spans="1:18" ht="93.6" x14ac:dyDescent="0.3">
      <c r="A7" s="35"/>
      <c r="B7" s="36"/>
      <c r="C7" s="29"/>
      <c r="D7" s="4" t="s">
        <v>15</v>
      </c>
      <c r="E7" s="4" t="s">
        <v>16</v>
      </c>
      <c r="F7" s="4" t="s">
        <v>17</v>
      </c>
      <c r="G7" s="4" t="s">
        <v>15</v>
      </c>
      <c r="H7" s="4" t="s">
        <v>16</v>
      </c>
      <c r="I7" s="4" t="s">
        <v>17</v>
      </c>
      <c r="J7" s="4" t="s">
        <v>15</v>
      </c>
      <c r="K7" s="4" t="s">
        <v>16</v>
      </c>
      <c r="L7" s="4" t="s">
        <v>17</v>
      </c>
      <c r="M7" s="4" t="s">
        <v>15</v>
      </c>
      <c r="N7" s="4" t="s">
        <v>16</v>
      </c>
      <c r="O7" s="4" t="s">
        <v>17</v>
      </c>
      <c r="P7" s="4" t="s">
        <v>15</v>
      </c>
      <c r="Q7" s="4" t="s">
        <v>16</v>
      </c>
      <c r="R7" s="4" t="s">
        <v>17</v>
      </c>
    </row>
    <row r="8" spans="1:18" ht="15.6" x14ac:dyDescent="0.3">
      <c r="A8" s="14">
        <v>1</v>
      </c>
      <c r="B8" s="23" t="s">
        <v>22</v>
      </c>
      <c r="C8" s="9">
        <v>25</v>
      </c>
      <c r="D8" s="9">
        <v>8</v>
      </c>
      <c r="E8" s="9">
        <v>12</v>
      </c>
      <c r="F8" s="9">
        <v>5</v>
      </c>
      <c r="G8" s="9">
        <v>7</v>
      </c>
      <c r="H8" s="9">
        <v>14</v>
      </c>
      <c r="I8" s="9">
        <v>4</v>
      </c>
      <c r="J8" s="9">
        <v>7</v>
      </c>
      <c r="K8" s="9">
        <v>14</v>
      </c>
      <c r="L8" s="9">
        <v>4</v>
      </c>
      <c r="M8" s="9">
        <v>9</v>
      </c>
      <c r="N8" s="9">
        <v>12</v>
      </c>
      <c r="O8" s="9">
        <v>4</v>
      </c>
      <c r="P8" s="9">
        <v>9</v>
      </c>
      <c r="Q8" s="9">
        <v>12</v>
      </c>
      <c r="R8" s="9">
        <v>4</v>
      </c>
    </row>
    <row r="9" spans="1:18" ht="15.6" x14ac:dyDescent="0.3">
      <c r="A9" s="30" t="s">
        <v>1</v>
      </c>
      <c r="B9" s="31"/>
      <c r="C9" s="9">
        <f t="shared" ref="C9:N9" si="0">SUM(C8:C8)</f>
        <v>25</v>
      </c>
      <c r="D9" s="9">
        <f t="shared" si="0"/>
        <v>8</v>
      </c>
      <c r="E9" s="9">
        <f t="shared" si="0"/>
        <v>12</v>
      </c>
      <c r="F9" s="9">
        <f t="shared" si="0"/>
        <v>5</v>
      </c>
      <c r="G9" s="9">
        <f t="shared" si="0"/>
        <v>7</v>
      </c>
      <c r="H9" s="9">
        <f t="shared" si="0"/>
        <v>14</v>
      </c>
      <c r="I9" s="9">
        <f t="shared" si="0"/>
        <v>4</v>
      </c>
      <c r="J9" s="9">
        <f t="shared" si="0"/>
        <v>7</v>
      </c>
      <c r="K9" s="9">
        <f t="shared" si="0"/>
        <v>14</v>
      </c>
      <c r="L9" s="9">
        <f t="shared" si="0"/>
        <v>4</v>
      </c>
      <c r="M9" s="9">
        <f t="shared" si="0"/>
        <v>9</v>
      </c>
      <c r="N9" s="9">
        <f t="shared" si="0"/>
        <v>12</v>
      </c>
      <c r="O9" s="9">
        <v>8</v>
      </c>
      <c r="P9" s="9">
        <f>SUM(P8:P8)</f>
        <v>9</v>
      </c>
      <c r="Q9" s="9">
        <f>SUM(Q8:Q8)</f>
        <v>12</v>
      </c>
      <c r="R9" s="9">
        <f>SUM(R8:R8)</f>
        <v>4</v>
      </c>
    </row>
    <row r="10" spans="1:18" ht="15.6" x14ac:dyDescent="0.3">
      <c r="A10" s="32" t="s">
        <v>9</v>
      </c>
      <c r="B10" s="33"/>
      <c r="C10" s="11">
        <f>C9*100/C9</f>
        <v>100</v>
      </c>
      <c r="D10" s="10">
        <f>D9*100/C9</f>
        <v>32</v>
      </c>
      <c r="E10" s="10">
        <f>E9*100/C9</f>
        <v>48</v>
      </c>
      <c r="F10" s="10">
        <f>F9*100/C9</f>
        <v>20</v>
      </c>
      <c r="G10" s="10">
        <f>G9*100/C9</f>
        <v>28</v>
      </c>
      <c r="H10" s="10">
        <f>H9*100/C9</f>
        <v>56</v>
      </c>
      <c r="I10" s="10">
        <f>I9*100/C9</f>
        <v>16</v>
      </c>
      <c r="J10" s="10">
        <f>J9*100/C9</f>
        <v>28</v>
      </c>
      <c r="K10" s="10">
        <f>K9*100/C9</f>
        <v>56</v>
      </c>
      <c r="L10" s="10">
        <f>L9*100/C9</f>
        <v>16</v>
      </c>
      <c r="M10" s="10">
        <v>70</v>
      </c>
      <c r="N10" s="10">
        <v>20</v>
      </c>
      <c r="O10" s="10">
        <v>10</v>
      </c>
      <c r="P10" s="10">
        <f>P9*100/C9</f>
        <v>36</v>
      </c>
      <c r="Q10" s="10">
        <f>Q9*100/C9</f>
        <v>48</v>
      </c>
      <c r="R10" s="10">
        <f>R9*100/C9</f>
        <v>16</v>
      </c>
    </row>
  </sheetData>
  <mergeCells count="11">
    <mergeCell ref="M6:O6"/>
    <mergeCell ref="P6:R6"/>
    <mergeCell ref="A9:B9"/>
    <mergeCell ref="A10:B10"/>
    <mergeCell ref="A2:B2"/>
    <mergeCell ref="A6:A7"/>
    <mergeCell ref="B6:B7"/>
    <mergeCell ref="C6:C7"/>
    <mergeCell ref="D6:F6"/>
    <mergeCell ref="G6:I6"/>
    <mergeCell ref="J6:L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R11"/>
  <sheetViews>
    <sheetView zoomScale="84" zoomScaleNormal="84" workbookViewId="0">
      <selection activeCell="C8" sqref="C8:R8"/>
    </sheetView>
  </sheetViews>
  <sheetFormatPr defaultRowHeight="14.4" x14ac:dyDescent="0.3"/>
  <cols>
    <col min="2" max="2" width="22.88671875" customWidth="1"/>
    <col min="3" max="3" width="12.5546875" customWidth="1"/>
    <col min="4" max="18" width="8.6640625" customWidth="1"/>
  </cols>
  <sheetData>
    <row r="2" spans="1:18" ht="15.6" x14ac:dyDescent="0.3">
      <c r="A2" s="34" t="s">
        <v>12</v>
      </c>
      <c r="B2" s="34"/>
      <c r="C2" s="1"/>
      <c r="D2" s="1"/>
      <c r="E2" s="1"/>
      <c r="F2" s="1"/>
      <c r="G2" s="1"/>
      <c r="H2" s="20" t="s">
        <v>19</v>
      </c>
      <c r="I2" s="21"/>
      <c r="J2" s="21"/>
      <c r="K2" s="21"/>
      <c r="L2" s="21"/>
      <c r="M2" s="2"/>
      <c r="N2" s="2"/>
      <c r="O2" s="2"/>
      <c r="P2" s="2"/>
      <c r="Q2" s="2"/>
      <c r="R2" s="2"/>
    </row>
    <row r="3" spans="1:18" ht="15.6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15.6" x14ac:dyDescent="0.3">
      <c r="A4" s="2"/>
      <c r="B4" s="2"/>
      <c r="C4" s="2"/>
      <c r="D4" s="2"/>
      <c r="E4" s="2"/>
      <c r="F4" s="2"/>
      <c r="G4" s="2"/>
      <c r="H4" s="2"/>
      <c r="I4" s="38" t="s">
        <v>20</v>
      </c>
      <c r="J4" s="38"/>
      <c r="K4" s="38"/>
      <c r="L4" s="38"/>
      <c r="M4" s="38"/>
      <c r="N4" s="38"/>
      <c r="O4" s="38"/>
      <c r="P4" s="2"/>
      <c r="Q4" s="2"/>
      <c r="R4" s="2"/>
    </row>
    <row r="5" spans="1:18" ht="15.6" x14ac:dyDescent="0.3">
      <c r="A5" s="2"/>
      <c r="B5" s="3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ht="15.75" customHeight="1" x14ac:dyDescent="0.3">
      <c r="A6" s="35" t="s">
        <v>0</v>
      </c>
      <c r="B6" s="29" t="s">
        <v>2</v>
      </c>
      <c r="C6" s="29" t="s">
        <v>8</v>
      </c>
      <c r="D6" s="29" t="s">
        <v>3</v>
      </c>
      <c r="E6" s="29"/>
      <c r="F6" s="29"/>
      <c r="G6" s="29" t="s">
        <v>6</v>
      </c>
      <c r="H6" s="29"/>
      <c r="I6" s="29"/>
      <c r="J6" s="29" t="s">
        <v>4</v>
      </c>
      <c r="K6" s="29"/>
      <c r="L6" s="29"/>
      <c r="M6" s="29" t="s">
        <v>7</v>
      </c>
      <c r="N6" s="29"/>
      <c r="O6" s="29"/>
      <c r="P6" s="29" t="s">
        <v>5</v>
      </c>
      <c r="Q6" s="29"/>
      <c r="R6" s="29"/>
    </row>
    <row r="7" spans="1:18" ht="114.75" customHeight="1" x14ac:dyDescent="0.3">
      <c r="A7" s="35"/>
      <c r="B7" s="29"/>
      <c r="C7" s="29"/>
      <c r="D7" s="4" t="s">
        <v>15</v>
      </c>
      <c r="E7" s="4" t="s">
        <v>16</v>
      </c>
      <c r="F7" s="4" t="s">
        <v>17</v>
      </c>
      <c r="G7" s="4" t="s">
        <v>15</v>
      </c>
      <c r="H7" s="4" t="s">
        <v>16</v>
      </c>
      <c r="I7" s="4" t="s">
        <v>17</v>
      </c>
      <c r="J7" s="4" t="s">
        <v>15</v>
      </c>
      <c r="K7" s="4" t="s">
        <v>16</v>
      </c>
      <c r="L7" s="4" t="s">
        <v>17</v>
      </c>
      <c r="M7" s="4" t="s">
        <v>15</v>
      </c>
      <c r="N7" s="4" t="s">
        <v>16</v>
      </c>
      <c r="O7" s="4" t="s">
        <v>17</v>
      </c>
      <c r="P7" s="4" t="s">
        <v>15</v>
      </c>
      <c r="Q7" s="4" t="s">
        <v>16</v>
      </c>
      <c r="R7" s="4" t="s">
        <v>17</v>
      </c>
    </row>
    <row r="8" spans="1:18" ht="31.2" x14ac:dyDescent="0.3">
      <c r="A8" s="18">
        <v>1</v>
      </c>
      <c r="B8" s="16" t="s">
        <v>18</v>
      </c>
      <c r="C8" s="15">
        <v>25</v>
      </c>
      <c r="D8" s="9">
        <v>8</v>
      </c>
      <c r="E8" s="9">
        <v>13</v>
      </c>
      <c r="F8" s="9">
        <v>4</v>
      </c>
      <c r="G8" s="9">
        <v>10</v>
      </c>
      <c r="H8" s="9">
        <v>12</v>
      </c>
      <c r="I8" s="9">
        <v>3</v>
      </c>
      <c r="J8" s="9">
        <v>10</v>
      </c>
      <c r="K8" s="9">
        <v>12</v>
      </c>
      <c r="L8" s="9">
        <v>3</v>
      </c>
      <c r="M8" s="9">
        <v>10</v>
      </c>
      <c r="N8" s="9">
        <v>12</v>
      </c>
      <c r="O8" s="9">
        <v>3</v>
      </c>
      <c r="P8" s="9">
        <v>10</v>
      </c>
      <c r="Q8" s="9">
        <v>12</v>
      </c>
      <c r="R8" s="9">
        <v>3</v>
      </c>
    </row>
    <row r="9" spans="1:18" ht="15.6" x14ac:dyDescent="0.3">
      <c r="A9" s="14"/>
      <c r="B9" s="17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</row>
    <row r="10" spans="1:18" ht="15.6" x14ac:dyDescent="0.3">
      <c r="A10" s="30" t="s">
        <v>1</v>
      </c>
      <c r="B10" s="37"/>
      <c r="C10" s="9">
        <f t="shared" ref="C10:R10" si="0">SUM(C8:C9)</f>
        <v>25</v>
      </c>
      <c r="D10" s="9">
        <f t="shared" si="0"/>
        <v>8</v>
      </c>
      <c r="E10" s="9">
        <f t="shared" si="0"/>
        <v>13</v>
      </c>
      <c r="F10" s="9">
        <f t="shared" si="0"/>
        <v>4</v>
      </c>
      <c r="G10" s="9">
        <f t="shared" si="0"/>
        <v>10</v>
      </c>
      <c r="H10" s="9">
        <f t="shared" si="0"/>
        <v>12</v>
      </c>
      <c r="I10" s="9">
        <f t="shared" si="0"/>
        <v>3</v>
      </c>
      <c r="J10" s="9">
        <f t="shared" si="0"/>
        <v>10</v>
      </c>
      <c r="K10" s="9">
        <f t="shared" si="0"/>
        <v>12</v>
      </c>
      <c r="L10" s="9">
        <f t="shared" si="0"/>
        <v>3</v>
      </c>
      <c r="M10" s="9">
        <f t="shared" si="0"/>
        <v>10</v>
      </c>
      <c r="N10" s="9">
        <f t="shared" si="0"/>
        <v>12</v>
      </c>
      <c r="O10" s="9">
        <f t="shared" si="0"/>
        <v>3</v>
      </c>
      <c r="P10" s="9">
        <f t="shared" si="0"/>
        <v>10</v>
      </c>
      <c r="Q10" s="9">
        <f t="shared" si="0"/>
        <v>12</v>
      </c>
      <c r="R10" s="9">
        <f t="shared" si="0"/>
        <v>3</v>
      </c>
    </row>
    <row r="11" spans="1:18" ht="21.75" customHeight="1" x14ac:dyDescent="0.3">
      <c r="A11" s="32" t="s">
        <v>9</v>
      </c>
      <c r="B11" s="33"/>
      <c r="C11" s="11">
        <f>C10*100/C10</f>
        <v>100</v>
      </c>
      <c r="D11" s="10">
        <f>D10*100/C10</f>
        <v>32</v>
      </c>
      <c r="E11" s="10">
        <f>E10*100/C10</f>
        <v>52</v>
      </c>
      <c r="F11" s="10">
        <f>F10*100/C10</f>
        <v>16</v>
      </c>
      <c r="G11" s="10">
        <f>G10*100/C10</f>
        <v>40</v>
      </c>
      <c r="H11" s="10">
        <f>H10*100/C10</f>
        <v>48</v>
      </c>
      <c r="I11" s="10">
        <f>I10*100/C10</f>
        <v>12</v>
      </c>
      <c r="J11" s="10">
        <f>J10*100/C10</f>
        <v>40</v>
      </c>
      <c r="K11" s="10">
        <f>K10*100/C10</f>
        <v>48</v>
      </c>
      <c r="L11" s="10">
        <f>L10*100/C10</f>
        <v>12</v>
      </c>
      <c r="M11" s="10">
        <f>M10*100/C10</f>
        <v>40</v>
      </c>
      <c r="N11" s="10">
        <f>N10*100/C10</f>
        <v>48</v>
      </c>
      <c r="O11" s="10">
        <f>O10*100/C10</f>
        <v>12</v>
      </c>
      <c r="P11" s="10">
        <f>P10*100/C10</f>
        <v>40</v>
      </c>
      <c r="Q11" s="10">
        <f>Q10*100/C10</f>
        <v>48</v>
      </c>
      <c r="R11" s="10">
        <f>R10*100/C10</f>
        <v>12</v>
      </c>
    </row>
  </sheetData>
  <mergeCells count="12">
    <mergeCell ref="A11:B11"/>
    <mergeCell ref="M6:O6"/>
    <mergeCell ref="P6:R6"/>
    <mergeCell ref="A10:B10"/>
    <mergeCell ref="A2:B2"/>
    <mergeCell ref="A6:A7"/>
    <mergeCell ref="B6:B7"/>
    <mergeCell ref="C6:C7"/>
    <mergeCell ref="D6:F6"/>
    <mergeCell ref="G6:I6"/>
    <mergeCell ref="J6:L6"/>
    <mergeCell ref="I4:O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R10"/>
  <sheetViews>
    <sheetView workbookViewId="0">
      <selection activeCell="C8" sqref="C8:R8"/>
    </sheetView>
  </sheetViews>
  <sheetFormatPr defaultRowHeight="14.4" x14ac:dyDescent="0.3"/>
  <cols>
    <col min="1" max="1" width="4.88671875" customWidth="1"/>
    <col min="2" max="2" width="22.6640625" customWidth="1"/>
    <col min="3" max="18" width="7.109375" customWidth="1"/>
  </cols>
  <sheetData>
    <row r="2" spans="1:18" ht="15.6" x14ac:dyDescent="0.3">
      <c r="A2" s="34" t="s">
        <v>12</v>
      </c>
      <c r="B2" s="34"/>
      <c r="C2" s="12"/>
      <c r="D2" s="12"/>
      <c r="E2" s="12"/>
      <c r="F2" s="12"/>
      <c r="G2" s="12"/>
      <c r="H2" s="20" t="s">
        <v>19</v>
      </c>
      <c r="I2" s="21"/>
      <c r="J2" s="21"/>
      <c r="K2" s="21"/>
      <c r="L2" s="21"/>
      <c r="M2" s="2"/>
      <c r="N2" s="2"/>
      <c r="O2" s="2"/>
      <c r="P2" s="2"/>
      <c r="Q2" s="2"/>
      <c r="R2" s="2"/>
    </row>
    <row r="3" spans="1:18" ht="15.6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15.6" x14ac:dyDescent="0.3">
      <c r="A4" s="2"/>
      <c r="B4" s="2"/>
      <c r="C4" s="2"/>
      <c r="D4" s="2"/>
      <c r="E4" s="2"/>
      <c r="F4" s="2"/>
      <c r="G4" s="2"/>
      <c r="H4" s="2"/>
      <c r="I4" s="38" t="s">
        <v>20</v>
      </c>
      <c r="J4" s="38"/>
      <c r="K4" s="38"/>
      <c r="L4" s="38"/>
      <c r="M4" s="38"/>
      <c r="N4" s="38"/>
      <c r="O4" s="38"/>
      <c r="P4" s="2"/>
      <c r="Q4" s="2"/>
      <c r="R4" s="2"/>
    </row>
    <row r="5" spans="1:18" ht="15.6" x14ac:dyDescent="0.3">
      <c r="A5" s="2"/>
      <c r="B5" s="3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ht="15.6" x14ac:dyDescent="0.3">
      <c r="A6" s="35" t="s">
        <v>0</v>
      </c>
      <c r="B6" s="29" t="s">
        <v>2</v>
      </c>
      <c r="C6" s="29" t="s">
        <v>8</v>
      </c>
      <c r="D6" s="29" t="s">
        <v>3</v>
      </c>
      <c r="E6" s="29"/>
      <c r="F6" s="29"/>
      <c r="G6" s="29" t="s">
        <v>6</v>
      </c>
      <c r="H6" s="29"/>
      <c r="I6" s="29"/>
      <c r="J6" s="29" t="s">
        <v>4</v>
      </c>
      <c r="K6" s="29"/>
      <c r="L6" s="29"/>
      <c r="M6" s="29" t="s">
        <v>7</v>
      </c>
      <c r="N6" s="29"/>
      <c r="O6" s="29"/>
      <c r="P6" s="29" t="s">
        <v>5</v>
      </c>
      <c r="Q6" s="29"/>
      <c r="R6" s="29"/>
    </row>
    <row r="7" spans="1:18" ht="124.8" x14ac:dyDescent="0.3">
      <c r="A7" s="35"/>
      <c r="B7" s="29"/>
      <c r="C7" s="29"/>
      <c r="D7" s="4" t="s">
        <v>15</v>
      </c>
      <c r="E7" s="4" t="s">
        <v>16</v>
      </c>
      <c r="F7" s="4" t="s">
        <v>17</v>
      </c>
      <c r="G7" s="4" t="s">
        <v>15</v>
      </c>
      <c r="H7" s="4" t="s">
        <v>16</v>
      </c>
      <c r="I7" s="4" t="s">
        <v>17</v>
      </c>
      <c r="J7" s="4" t="s">
        <v>15</v>
      </c>
      <c r="K7" s="4" t="s">
        <v>16</v>
      </c>
      <c r="L7" s="4" t="s">
        <v>17</v>
      </c>
      <c r="M7" s="4" t="s">
        <v>15</v>
      </c>
      <c r="N7" s="4" t="s">
        <v>16</v>
      </c>
      <c r="O7" s="4" t="s">
        <v>17</v>
      </c>
      <c r="P7" s="4" t="s">
        <v>15</v>
      </c>
      <c r="Q7" s="4" t="s">
        <v>16</v>
      </c>
      <c r="R7" s="4" t="s">
        <v>17</v>
      </c>
    </row>
    <row r="8" spans="1:18" ht="31.2" x14ac:dyDescent="0.3">
      <c r="A8" s="18">
        <v>1</v>
      </c>
      <c r="B8" s="23" t="s">
        <v>23</v>
      </c>
      <c r="C8" s="15">
        <v>25</v>
      </c>
      <c r="D8" s="9">
        <v>11</v>
      </c>
      <c r="E8" s="9">
        <v>13</v>
      </c>
      <c r="F8" s="9">
        <v>1</v>
      </c>
      <c r="G8" s="9">
        <v>10</v>
      </c>
      <c r="H8" s="9">
        <v>13</v>
      </c>
      <c r="I8" s="9">
        <v>2</v>
      </c>
      <c r="J8" s="9">
        <v>11</v>
      </c>
      <c r="K8" s="9">
        <v>12</v>
      </c>
      <c r="L8" s="9">
        <v>2</v>
      </c>
      <c r="M8" s="9">
        <v>11</v>
      </c>
      <c r="N8" s="9">
        <v>13</v>
      </c>
      <c r="O8" s="9">
        <v>1</v>
      </c>
      <c r="P8" s="9">
        <v>11</v>
      </c>
      <c r="Q8" s="9">
        <v>12</v>
      </c>
      <c r="R8" s="9">
        <v>2</v>
      </c>
    </row>
    <row r="9" spans="1:18" ht="15.6" x14ac:dyDescent="0.3">
      <c r="A9" s="30" t="s">
        <v>1</v>
      </c>
      <c r="B9" s="37"/>
      <c r="C9" s="9">
        <f t="shared" ref="C9:N9" si="0">SUM(C8:C8)</f>
        <v>25</v>
      </c>
      <c r="D9" s="9">
        <f t="shared" si="0"/>
        <v>11</v>
      </c>
      <c r="E9" s="9">
        <f t="shared" si="0"/>
        <v>13</v>
      </c>
      <c r="F9" s="9">
        <f t="shared" si="0"/>
        <v>1</v>
      </c>
      <c r="G9" s="9">
        <f t="shared" si="0"/>
        <v>10</v>
      </c>
      <c r="H9" s="9">
        <f t="shared" si="0"/>
        <v>13</v>
      </c>
      <c r="I9" s="9">
        <f t="shared" si="0"/>
        <v>2</v>
      </c>
      <c r="J9" s="9">
        <f t="shared" si="0"/>
        <v>11</v>
      </c>
      <c r="K9" s="9">
        <f t="shared" si="0"/>
        <v>12</v>
      </c>
      <c r="L9" s="9">
        <f t="shared" si="0"/>
        <v>2</v>
      </c>
      <c r="M9" s="9">
        <f t="shared" si="0"/>
        <v>11</v>
      </c>
      <c r="N9" s="9">
        <f t="shared" si="0"/>
        <v>13</v>
      </c>
      <c r="O9" s="9">
        <v>3</v>
      </c>
      <c r="P9" s="9">
        <f>SUM(P8:P8)</f>
        <v>11</v>
      </c>
      <c r="Q9" s="9">
        <f>SUM(Q8:Q8)</f>
        <v>12</v>
      </c>
      <c r="R9" s="9">
        <f>SUM(R8:R8)</f>
        <v>2</v>
      </c>
    </row>
    <row r="10" spans="1:18" ht="15.6" x14ac:dyDescent="0.3">
      <c r="A10" s="32" t="s">
        <v>9</v>
      </c>
      <c r="B10" s="33"/>
      <c r="C10" s="11">
        <f>C9*100/C9</f>
        <v>100</v>
      </c>
      <c r="D10" s="10">
        <f>D9*100/C9</f>
        <v>44</v>
      </c>
      <c r="E10" s="10">
        <f>E9*100/C9</f>
        <v>52</v>
      </c>
      <c r="F10" s="10">
        <f>F9*100/C9</f>
        <v>4</v>
      </c>
      <c r="G10" s="10">
        <f>G9*100/C9</f>
        <v>40</v>
      </c>
      <c r="H10" s="10">
        <f>H9*100/C9</f>
        <v>52</v>
      </c>
      <c r="I10" s="10">
        <f>I9*100/C9</f>
        <v>8</v>
      </c>
      <c r="J10" s="10">
        <f>J9*100/C9</f>
        <v>44</v>
      </c>
      <c r="K10" s="10">
        <f>K9*100/C9</f>
        <v>48</v>
      </c>
      <c r="L10" s="10">
        <f>L9*100/C9</f>
        <v>8</v>
      </c>
      <c r="M10" s="10">
        <v>78</v>
      </c>
      <c r="N10" s="10">
        <f>N9*100/C9</f>
        <v>52</v>
      </c>
      <c r="O10" s="10">
        <f>O9*100/C9</f>
        <v>12</v>
      </c>
      <c r="P10" s="10">
        <f>P9*100/C9</f>
        <v>44</v>
      </c>
      <c r="Q10" s="10">
        <f>Q9*100/C9</f>
        <v>48</v>
      </c>
      <c r="R10" s="10">
        <f>R9*100/C9</f>
        <v>8</v>
      </c>
    </row>
  </sheetData>
  <mergeCells count="12">
    <mergeCell ref="M6:O6"/>
    <mergeCell ref="P6:R6"/>
    <mergeCell ref="A9:B9"/>
    <mergeCell ref="A10:B10"/>
    <mergeCell ref="A2:B2"/>
    <mergeCell ref="A6:A7"/>
    <mergeCell ref="B6:B7"/>
    <mergeCell ref="C6:C7"/>
    <mergeCell ref="D6:F6"/>
    <mergeCell ref="G6:I6"/>
    <mergeCell ref="J6:L6"/>
    <mergeCell ref="I4:O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31"/>
  <sheetViews>
    <sheetView tabSelected="1" workbookViewId="0">
      <selection activeCell="I11" sqref="I11"/>
    </sheetView>
  </sheetViews>
  <sheetFormatPr defaultRowHeight="14.4" x14ac:dyDescent="0.3"/>
  <cols>
    <col min="1" max="1" width="5.33203125" customWidth="1"/>
    <col min="2" max="2" width="19.44140625" customWidth="1"/>
    <col min="3" max="3" width="9.5546875" bestFit="1" customWidth="1"/>
    <col min="4" max="18" width="9.44140625" bestFit="1" customWidth="1"/>
  </cols>
  <sheetData>
    <row r="1" spans="1:18" x14ac:dyDescent="0.3">
      <c r="B1" s="22" t="s">
        <v>21</v>
      </c>
      <c r="O1" s="39" t="s">
        <v>11</v>
      </c>
      <c r="P1" s="39"/>
    </row>
    <row r="2" spans="1:18" ht="15.6" x14ac:dyDescent="0.3">
      <c r="B2" s="5" t="s">
        <v>12</v>
      </c>
      <c r="C2" s="5"/>
      <c r="D2" s="1"/>
      <c r="F2" s="1"/>
      <c r="G2" s="20" t="s">
        <v>19</v>
      </c>
      <c r="H2" s="21"/>
      <c r="I2" s="21"/>
      <c r="J2" s="21"/>
      <c r="K2" s="21"/>
      <c r="L2" s="2"/>
      <c r="M2" s="2"/>
      <c r="N2" s="2"/>
      <c r="O2" s="2"/>
      <c r="P2" s="2"/>
    </row>
    <row r="3" spans="1:18" ht="15.6" x14ac:dyDescent="0.3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15.6" x14ac:dyDescent="0.3">
      <c r="D4" s="6"/>
      <c r="F4" s="2"/>
      <c r="G4" s="2"/>
      <c r="H4" s="38" t="s">
        <v>20</v>
      </c>
      <c r="I4" s="38"/>
      <c r="J4" s="38"/>
      <c r="K4" s="38"/>
      <c r="L4" s="38"/>
      <c r="M4" s="38"/>
      <c r="N4" s="38"/>
      <c r="O4" s="2"/>
      <c r="P4" s="2"/>
      <c r="Q4" s="2"/>
      <c r="R4" s="2"/>
    </row>
    <row r="5" spans="1:18" ht="15.6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ht="15.6" x14ac:dyDescent="0.3">
      <c r="B6" s="3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ht="15.75" customHeight="1" x14ac:dyDescent="0.3">
      <c r="A7" s="26"/>
      <c r="B7" s="40" t="s">
        <v>14</v>
      </c>
      <c r="C7" s="29" t="s">
        <v>13</v>
      </c>
      <c r="D7" s="29" t="s">
        <v>3</v>
      </c>
      <c r="E7" s="29"/>
      <c r="F7" s="29"/>
      <c r="G7" s="29" t="s">
        <v>6</v>
      </c>
      <c r="H7" s="29"/>
      <c r="I7" s="29"/>
      <c r="J7" s="29" t="s">
        <v>4</v>
      </c>
      <c r="K7" s="29"/>
      <c r="L7" s="29"/>
      <c r="M7" s="29" t="s">
        <v>7</v>
      </c>
      <c r="N7" s="29"/>
      <c r="O7" s="29"/>
      <c r="P7" s="29" t="s">
        <v>5</v>
      </c>
      <c r="Q7" s="29"/>
      <c r="R7" s="29"/>
    </row>
    <row r="8" spans="1:18" ht="62.4" x14ac:dyDescent="0.3">
      <c r="A8" s="26"/>
      <c r="B8" s="41"/>
      <c r="C8" s="29"/>
      <c r="D8" s="4" t="s">
        <v>15</v>
      </c>
      <c r="E8" s="4" t="s">
        <v>16</v>
      </c>
      <c r="F8" s="4" t="s">
        <v>17</v>
      </c>
      <c r="G8" s="4" t="s">
        <v>15</v>
      </c>
      <c r="H8" s="4" t="s">
        <v>16</v>
      </c>
      <c r="I8" s="4" t="s">
        <v>17</v>
      </c>
      <c r="J8" s="4" t="s">
        <v>15</v>
      </c>
      <c r="K8" s="4" t="s">
        <v>16</v>
      </c>
      <c r="L8" s="4" t="s">
        <v>17</v>
      </c>
      <c r="M8" s="4" t="s">
        <v>15</v>
      </c>
      <c r="N8" s="4" t="s">
        <v>16</v>
      </c>
      <c r="O8" s="4" t="s">
        <v>17</v>
      </c>
      <c r="P8" s="4" t="s">
        <v>15</v>
      </c>
      <c r="Q8" s="4" t="s">
        <v>16</v>
      </c>
      <c r="R8" s="4" t="s">
        <v>17</v>
      </c>
    </row>
    <row r="9" spans="1:18" ht="31.2" x14ac:dyDescent="0.3">
      <c r="A9" s="26">
        <v>1</v>
      </c>
      <c r="B9" s="23" t="s">
        <v>22</v>
      </c>
      <c r="C9" s="9">
        <v>25</v>
      </c>
      <c r="D9" s="9">
        <v>9</v>
      </c>
      <c r="E9" s="9">
        <v>12</v>
      </c>
      <c r="F9" s="9">
        <v>4</v>
      </c>
      <c r="G9" s="9">
        <v>7</v>
      </c>
      <c r="H9" s="9">
        <v>14</v>
      </c>
      <c r="I9" s="9">
        <v>4</v>
      </c>
      <c r="J9" s="9">
        <v>7</v>
      </c>
      <c r="K9" s="9">
        <v>14</v>
      </c>
      <c r="L9" s="9">
        <v>4</v>
      </c>
      <c r="M9" s="9">
        <v>9</v>
      </c>
      <c r="N9" s="9">
        <v>12</v>
      </c>
      <c r="O9" s="9">
        <v>4</v>
      </c>
      <c r="P9" s="9">
        <v>9</v>
      </c>
      <c r="Q9" s="9">
        <v>12</v>
      </c>
      <c r="R9" s="9">
        <v>4</v>
      </c>
    </row>
    <row r="10" spans="1:18" ht="31.2" x14ac:dyDescent="0.3">
      <c r="A10" s="26">
        <v>2</v>
      </c>
      <c r="B10" s="23" t="s">
        <v>18</v>
      </c>
      <c r="C10" s="15">
        <v>25</v>
      </c>
      <c r="D10" s="9">
        <v>8</v>
      </c>
      <c r="E10" s="9">
        <v>13</v>
      </c>
      <c r="F10" s="9">
        <v>4</v>
      </c>
      <c r="G10" s="9">
        <v>10</v>
      </c>
      <c r="H10" s="9">
        <v>12</v>
      </c>
      <c r="I10" s="9">
        <v>3</v>
      </c>
      <c r="J10" s="9">
        <v>10</v>
      </c>
      <c r="K10" s="9">
        <v>12</v>
      </c>
      <c r="L10" s="9">
        <v>3</v>
      </c>
      <c r="M10" s="9">
        <v>10</v>
      </c>
      <c r="N10" s="9">
        <v>12</v>
      </c>
      <c r="O10" s="9">
        <v>3</v>
      </c>
      <c r="P10" s="9">
        <v>10</v>
      </c>
      <c r="Q10" s="9">
        <v>12</v>
      </c>
      <c r="R10" s="9">
        <v>3</v>
      </c>
    </row>
    <row r="11" spans="1:18" ht="31.2" x14ac:dyDescent="0.3">
      <c r="A11" s="26">
        <v>3</v>
      </c>
      <c r="B11" s="23" t="s">
        <v>23</v>
      </c>
      <c r="C11" s="15">
        <v>25</v>
      </c>
      <c r="D11" s="9">
        <v>9</v>
      </c>
      <c r="E11" s="9">
        <v>12</v>
      </c>
      <c r="F11" s="9">
        <v>4</v>
      </c>
      <c r="G11" s="9">
        <v>8</v>
      </c>
      <c r="H11" s="9">
        <v>13</v>
      </c>
      <c r="I11" s="9">
        <v>4</v>
      </c>
      <c r="J11" s="9">
        <v>11</v>
      </c>
      <c r="K11" s="9">
        <v>12</v>
      </c>
      <c r="L11" s="9">
        <v>2</v>
      </c>
      <c r="M11" s="9">
        <v>11</v>
      </c>
      <c r="N11" s="9">
        <v>13</v>
      </c>
      <c r="O11" s="9">
        <v>1</v>
      </c>
      <c r="P11" s="9">
        <v>11</v>
      </c>
      <c r="Q11" s="9">
        <v>12</v>
      </c>
      <c r="R11" s="9">
        <v>2</v>
      </c>
    </row>
    <row r="12" spans="1:18" ht="15.6" x14ac:dyDescent="0.3">
      <c r="A12" s="26"/>
      <c r="B12" s="24" t="s">
        <v>1</v>
      </c>
      <c r="C12" s="15">
        <f t="shared" ref="C12:R12" si="0">SUM(C9:C11)</f>
        <v>75</v>
      </c>
      <c r="D12" s="9">
        <f t="shared" si="0"/>
        <v>26</v>
      </c>
      <c r="E12" s="9">
        <f t="shared" si="0"/>
        <v>37</v>
      </c>
      <c r="F12" s="9">
        <f t="shared" si="0"/>
        <v>12</v>
      </c>
      <c r="G12" s="9">
        <f t="shared" si="0"/>
        <v>25</v>
      </c>
      <c r="H12" s="9">
        <f t="shared" si="0"/>
        <v>39</v>
      </c>
      <c r="I12" s="9">
        <f t="shared" si="0"/>
        <v>11</v>
      </c>
      <c r="J12" s="9">
        <f t="shared" si="0"/>
        <v>28</v>
      </c>
      <c r="K12" s="9">
        <f t="shared" si="0"/>
        <v>38</v>
      </c>
      <c r="L12" s="9">
        <f t="shared" si="0"/>
        <v>9</v>
      </c>
      <c r="M12" s="9">
        <f t="shared" si="0"/>
        <v>30</v>
      </c>
      <c r="N12" s="9">
        <f t="shared" si="0"/>
        <v>37</v>
      </c>
      <c r="O12" s="9">
        <f t="shared" si="0"/>
        <v>8</v>
      </c>
      <c r="P12" s="9">
        <f t="shared" si="0"/>
        <v>30</v>
      </c>
      <c r="Q12" s="9">
        <f t="shared" si="0"/>
        <v>36</v>
      </c>
      <c r="R12" s="9">
        <f t="shared" si="0"/>
        <v>9</v>
      </c>
    </row>
    <row r="13" spans="1:18" ht="17.25" customHeight="1" x14ac:dyDescent="0.3">
      <c r="A13" s="26"/>
      <c r="B13" s="25" t="s">
        <v>10</v>
      </c>
      <c r="C13" s="11">
        <f>C12*100/C12</f>
        <v>100</v>
      </c>
      <c r="D13" s="10">
        <f>D12*100/C12</f>
        <v>34.666666666666664</v>
      </c>
      <c r="E13" s="10">
        <f>E12*100/C12</f>
        <v>49.333333333333336</v>
      </c>
      <c r="F13" s="10">
        <f>F12*100/C12</f>
        <v>16</v>
      </c>
      <c r="G13" s="10">
        <f>G12*100/C12</f>
        <v>33.333333333333336</v>
      </c>
      <c r="H13" s="10">
        <f>H12*100/C12</f>
        <v>52</v>
      </c>
      <c r="I13" s="10">
        <f>I12*100/C12</f>
        <v>14.666666666666666</v>
      </c>
      <c r="J13" s="10">
        <f>J12*100/C12</f>
        <v>37.333333333333336</v>
      </c>
      <c r="K13" s="10">
        <f>K12*100/C12</f>
        <v>50.666666666666664</v>
      </c>
      <c r="L13" s="10">
        <f>L12*100/C12</f>
        <v>12</v>
      </c>
      <c r="M13" s="10">
        <f>M12*100/C12</f>
        <v>40</v>
      </c>
      <c r="N13" s="10">
        <f>N12*100/C12</f>
        <v>49.333333333333336</v>
      </c>
      <c r="O13" s="10">
        <f>O12*100/C12</f>
        <v>10.666666666666666</v>
      </c>
      <c r="P13" s="10">
        <f>P12*100/C12</f>
        <v>40</v>
      </c>
      <c r="Q13" s="10">
        <f>Q12*100/C12</f>
        <v>48</v>
      </c>
      <c r="R13" s="10">
        <f>R12*100/C12</f>
        <v>12</v>
      </c>
    </row>
    <row r="14" spans="1:18" ht="15.6" x14ac:dyDescent="0.3">
      <c r="A14" s="26"/>
      <c r="B14" s="2"/>
      <c r="C14" s="2"/>
      <c r="D14" s="2"/>
      <c r="E14" s="2"/>
      <c r="F14" s="2"/>
      <c r="G14" s="13"/>
      <c r="H14" s="13"/>
      <c r="I14" s="13"/>
      <c r="J14" s="2"/>
      <c r="K14" s="2"/>
      <c r="L14" s="2"/>
      <c r="M14" s="2"/>
      <c r="N14" s="2"/>
      <c r="O14" s="2"/>
      <c r="P14" s="2"/>
      <c r="Q14" s="2"/>
      <c r="R14" s="2"/>
    </row>
    <row r="15" spans="1:18" ht="15.6" x14ac:dyDescent="0.3">
      <c r="B15" s="2"/>
      <c r="C15" s="2"/>
      <c r="D15" s="2"/>
      <c r="E15" s="2"/>
      <c r="F15" s="2"/>
      <c r="G15" s="13"/>
      <c r="H15" s="13"/>
      <c r="I15" s="13"/>
      <c r="J15" s="2"/>
      <c r="K15" s="2"/>
      <c r="L15" s="2"/>
      <c r="M15" s="2"/>
      <c r="N15" s="2"/>
      <c r="O15" s="2"/>
      <c r="P15" s="2"/>
      <c r="Q15" s="2"/>
      <c r="R15" s="2"/>
    </row>
    <row r="16" spans="1:18" ht="15.6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2:18" ht="15.6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2:18" ht="15.6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2:18" ht="15.6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2:18" ht="15.6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2:18" ht="15.6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2:18" ht="15.6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2:18" ht="15.6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2:18" ht="15.6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2:18" ht="15.6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2:18" ht="15.6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2:18" ht="15.6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2:18" ht="15.6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2:18" ht="15.6" x14ac:dyDescent="0.3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2:18" ht="15.6" x14ac:dyDescent="0.3">
      <c r="B30" s="7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2:18" ht="15.6" x14ac:dyDescent="0.3">
      <c r="B31" s="8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</sheetData>
  <mergeCells count="9">
    <mergeCell ref="O1:P1"/>
    <mergeCell ref="P7:R7"/>
    <mergeCell ref="H4:N4"/>
    <mergeCell ref="B7:B8"/>
    <mergeCell ref="C7:C8"/>
    <mergeCell ref="D7:F7"/>
    <mergeCell ref="G7:I7"/>
    <mergeCell ref="J7:L7"/>
    <mergeCell ref="M7:O7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«Бүлдіршін» ортаңғы тобы</vt:lpstr>
      <vt:lpstr>«Айгөлек» ересек тобы</vt:lpstr>
      <vt:lpstr>«Қарлығаш» мектепалды тобы</vt:lpstr>
      <vt:lpstr>МДҰ әдіскерінің жинағы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2022-12-22T06:57:03Z</dcterms:created>
  <dcterms:modified xsi:type="dcterms:W3CDTF">2026-01-15T06:34:57Z</dcterms:modified>
</cp:coreProperties>
</file>