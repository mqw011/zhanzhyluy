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ИССТАЦИЯ\7.МОНИТОРТИНГ 3 ЖЫЛ\2024-2025 МОНИТОРИНГ\"/>
    </mc:Choice>
  </mc:AlternateContent>
  <xr:revisionPtr revIDLastSave="0" documentId="13_ncr:1_{40E89B61-5AA7-45BC-9D0E-DCF571BDD3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«Бүлдіршін» ортаңғы тобы" sheetId="18" r:id="rId1"/>
    <sheet name="«Айгөлек» ересек тобы" sheetId="12" r:id="rId2"/>
    <sheet name="«Қарлығаш» мектепалды тобы" sheetId="17" r:id="rId3"/>
    <sheet name="МДҰ әдіскерінің жинағы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9" i="18" l="1"/>
  <c r="M9" i="18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O10" i="12"/>
  <c r="P11" i="16" l="1"/>
  <c r="L11" i="16"/>
  <c r="D11" i="16"/>
  <c r="O11" i="16"/>
  <c r="K11" i="16"/>
  <c r="G11" i="16"/>
  <c r="R11" i="16"/>
  <c r="N11" i="16"/>
  <c r="Q11" i="16"/>
  <c r="M11" i="16"/>
  <c r="I11" i="16"/>
  <c r="J11" i="16"/>
  <c r="E11" i="16"/>
  <c r="H11" i="16"/>
  <c r="F11" i="16"/>
  <c r="C11" i="16"/>
  <c r="R9" i="18"/>
  <c r="Q9" i="18"/>
  <c r="P9" i="18"/>
  <c r="N9" i="18"/>
  <c r="L9" i="18"/>
  <c r="K9" i="18"/>
  <c r="J9" i="18"/>
  <c r="I9" i="18"/>
  <c r="H9" i="18"/>
  <c r="G9" i="18"/>
  <c r="F9" i="18"/>
  <c r="E9" i="18"/>
  <c r="D9" i="18"/>
  <c r="C9" i="18"/>
  <c r="C10" i="18" s="1"/>
  <c r="R9" i="17"/>
  <c r="Q9" i="17"/>
  <c r="P9" i="17"/>
  <c r="N9" i="17"/>
  <c r="M9" i="17"/>
  <c r="L9" i="17"/>
  <c r="K9" i="17"/>
  <c r="J9" i="17"/>
  <c r="I9" i="17"/>
  <c r="H9" i="17"/>
  <c r="G9" i="17"/>
  <c r="F9" i="17"/>
  <c r="E9" i="17"/>
  <c r="D9" i="17"/>
  <c r="C9" i="17"/>
  <c r="C10" i="17" s="1"/>
  <c r="E10" i="17" l="1"/>
  <c r="D10" i="17"/>
  <c r="F10" i="17"/>
  <c r="L10" i="17"/>
  <c r="G10" i="18"/>
  <c r="P10" i="18"/>
  <c r="F10" i="18"/>
  <c r="E10" i="18"/>
  <c r="D10" i="18"/>
  <c r="L10" i="18"/>
  <c r="N10" i="17"/>
  <c r="H10" i="17"/>
  <c r="P10" i="17"/>
  <c r="G10" i="17"/>
  <c r="O10" i="17"/>
  <c r="I10" i="17"/>
  <c r="Q10" i="17"/>
  <c r="J10" i="18"/>
  <c r="I10" i="18"/>
  <c r="R10" i="18"/>
  <c r="H10" i="18"/>
  <c r="Q10" i="18"/>
  <c r="K10" i="18"/>
  <c r="K10" i="17"/>
  <c r="J10" i="17"/>
  <c r="R10" i="17"/>
  <c r="R10" i="12" l="1"/>
  <c r="Q10" i="12"/>
  <c r="P10" i="12"/>
  <c r="N10" i="12"/>
  <c r="L10" i="12"/>
  <c r="M10" i="12"/>
  <c r="K10" i="12"/>
  <c r="J10" i="12"/>
  <c r="I10" i="12"/>
  <c r="H10" i="12"/>
  <c r="G10" i="12"/>
  <c r="F10" i="12"/>
  <c r="E10" i="12"/>
  <c r="D10" i="12"/>
  <c r="C10" i="12" l="1"/>
  <c r="C11" i="12" l="1"/>
  <c r="P11" i="12" l="1"/>
  <c r="E11" i="12"/>
  <c r="I11" i="12"/>
  <c r="M11" i="12"/>
  <c r="Q11" i="12"/>
  <c r="F11" i="12"/>
  <c r="J11" i="12"/>
  <c r="N11" i="12"/>
  <c r="R11" i="12"/>
  <c r="G11" i="12"/>
  <c r="K11" i="12"/>
  <c r="O11" i="12"/>
  <c r="D11" i="12"/>
  <c r="H11" i="12"/>
  <c r="L11" i="12"/>
</calcChain>
</file>

<file path=xl/sharedStrings.xml><?xml version="1.0" encoding="utf-8"?>
<sst xmlns="http://schemas.openxmlformats.org/spreadsheetml/2006/main" count="119" uniqueCount="24">
  <si>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</si>
  <si>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</si>
  <si>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</si>
  <si>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</si>
  <si>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</si>
  <si>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</si>
  <si>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</si>
  <si>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</si>
  <si>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</si>
  <si>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</si>
  <si>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</si>
  <si>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>Приложение 3</t>
  </si>
  <si>
    <t>МДҰ бойынша әдіскерінің жинағы</t>
  </si>
  <si>
    <t xml:space="preserve">Балалар саны </t>
  </si>
  <si>
    <t xml:space="preserve">Жас топтары </t>
  </si>
  <si>
    <t>олардың ішінде  жоғары деңгей</t>
  </si>
  <si>
    <t>олардың ішінде орташа деңгей</t>
  </si>
  <si>
    <t>олардың ішінде   төмен деңгей</t>
  </si>
  <si>
    <t>«Айгөлек» ересек тобы</t>
  </si>
  <si>
    <t>МДҰ атауы: ЖМ «Жан жылуы» бөбекжай-балабақшасы</t>
  </si>
  <si>
    <t xml:space="preserve">Әдіскерінің аты-жөні__Бердібек Ә.__ </t>
  </si>
  <si>
    <t>ҚОРЫТЫНДЫ жинақ 2024-2025 оқу жылы</t>
  </si>
  <si>
    <t>«Бүлдіршін» ортаңғы тобы</t>
  </si>
  <si>
    <t>«Қарлығаш» мектепалды тобы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</si>
</sst>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" fillId="0" borderId="6" xfId="0" applyFont="1" applyBorder="1"/>
    <xf numFmtId="0" fontId="1" fillId="0" borderId="2" xfId="0" applyFont="1" applyBorder="1" applyAlignment="1">
      <alignment vertical="top"/>
    </xf>
    <xf numFmtId="0" fontId="1" fillId="0" borderId="0" xfId="0" applyFont="1" applyAlignment="1">
      <alignment horizontal="left"/>
    </xf>
    <xf numFmtId="0" fontId="6" fillId="0" borderId="0" xfId="0" applyFont="1"/>
    <xf numFmtId="1" fontId="0" fillId="0" borderId="0" xfId="0" applyNumberFormat="1"/>
    <xf numFmtId="1" fontId="7" fillId="3" borderId="0" xfId="0" applyNumberFormat="1" applyFont="1" applyFill="1"/>
    <xf numFmtId="0" fontId="7" fillId="3" borderId="0" xfId="0" applyFont="1" applyFill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7" fillId="0" borderId="0" xfId="0" applyFont="1"/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5" fillId="0" borderId="3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0"/>
  <sheetViews>
    <sheetView tabSelected="1" workbookViewId="0">
      <selection activeCell="D8" sqref="D8:R8"/>
    </sheetView>
  </sheetViews>
  <sheetFormatPr defaultRowHeight="14.4" x14ac:dyDescent="0.3"/>
  <cols>
    <col min="1" max="1" width="4.44140625" customWidth="1"/>
    <col min="2" max="2" width="34.77734375" customWidth="1"/>
  </cols>
  <sheetData>
    <row r="2" spans="1:18" ht="15.6" x14ac:dyDescent="0.3">
      <c r="A2" s="34" t="s">
        <v>12</v>
      </c>
      <c r="B2" s="34"/>
      <c r="C2" s="12"/>
      <c r="D2" s="12"/>
      <c r="E2" s="12"/>
      <c r="F2" s="12"/>
      <c r="G2" s="12"/>
      <c r="H2" s="24" t="s">
        <v>19</v>
      </c>
      <c r="I2" s="25"/>
      <c r="J2" s="25"/>
      <c r="K2" s="25"/>
      <c r="L2" s="25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35" t="s">
        <v>20</v>
      </c>
      <c r="I5" s="35"/>
      <c r="J5" s="35"/>
      <c r="K5" s="35"/>
      <c r="L5" s="35"/>
      <c r="M5" s="35"/>
      <c r="N5" s="35"/>
      <c r="O5" s="2"/>
      <c r="P5" s="2"/>
      <c r="Q5" s="2"/>
      <c r="R5" s="2"/>
    </row>
    <row r="6" spans="1:18" ht="15.6" x14ac:dyDescent="0.3">
      <c r="A6" s="36" t="s">
        <v>0</v>
      </c>
      <c r="B6" s="31" t="s">
        <v>2</v>
      </c>
      <c r="C6" s="31" t="s">
        <v>8</v>
      </c>
      <c r="D6" s="31" t="s">
        <v>3</v>
      </c>
      <c r="E6" s="31"/>
      <c r="F6" s="31"/>
      <c r="G6" s="31" t="s">
        <v>6</v>
      </c>
      <c r="H6" s="31"/>
      <c r="I6" s="31"/>
      <c r="J6" s="31" t="s">
        <v>4</v>
      </c>
      <c r="K6" s="31"/>
      <c r="L6" s="31"/>
      <c r="M6" s="31" t="s">
        <v>7</v>
      </c>
      <c r="N6" s="31"/>
      <c r="O6" s="31"/>
      <c r="P6" s="31" t="s">
        <v>5</v>
      </c>
      <c r="Q6" s="31"/>
      <c r="R6" s="31"/>
    </row>
    <row r="7" spans="1:18" ht="93.6" x14ac:dyDescent="0.3">
      <c r="A7" s="36"/>
      <c r="B7" s="40"/>
      <c r="C7" s="31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4">
        <v>1</v>
      </c>
      <c r="B8" s="44" t="s">
        <v>22</v>
      </c>
      <c r="C8" s="15">
        <v>25</v>
      </c>
      <c r="D8" s="9">
        <v>19</v>
      </c>
      <c r="E8" s="9">
        <v>4</v>
      </c>
      <c r="F8" s="9">
        <v>2</v>
      </c>
      <c r="G8" s="9">
        <v>20</v>
      </c>
      <c r="H8" s="9">
        <v>3</v>
      </c>
      <c r="I8" s="9">
        <v>2</v>
      </c>
      <c r="J8" s="9">
        <v>19</v>
      </c>
      <c r="K8" s="9">
        <v>4</v>
      </c>
      <c r="L8" s="9">
        <v>2</v>
      </c>
      <c r="M8" s="9">
        <v>20</v>
      </c>
      <c r="N8" s="9">
        <v>3</v>
      </c>
      <c r="O8" s="9">
        <v>2</v>
      </c>
      <c r="P8" s="9">
        <v>19</v>
      </c>
      <c r="Q8" s="9">
        <v>4</v>
      </c>
      <c r="R8" s="9">
        <v>2</v>
      </c>
    </row>
    <row r="9" spans="1:18" ht="15.6" x14ac:dyDescent="0.3">
      <c r="A9" s="32" t="s">
        <v>1</v>
      </c>
      <c r="B9" s="37"/>
      <c r="C9" s="9">
        <f t="shared" ref="C9:N9" si="0">SUM(C8:C8)</f>
        <v>25</v>
      </c>
      <c r="D9" s="9">
        <f t="shared" si="0"/>
        <v>19</v>
      </c>
      <c r="E9" s="9">
        <f t="shared" si="0"/>
        <v>4</v>
      </c>
      <c r="F9" s="9">
        <f t="shared" si="0"/>
        <v>2</v>
      </c>
      <c r="G9" s="9">
        <f t="shared" si="0"/>
        <v>20</v>
      </c>
      <c r="H9" s="9">
        <f t="shared" si="0"/>
        <v>3</v>
      </c>
      <c r="I9" s="9">
        <f t="shared" si="0"/>
        <v>2</v>
      </c>
      <c r="J9" s="9">
        <f t="shared" si="0"/>
        <v>19</v>
      </c>
      <c r="K9" s="9">
        <f t="shared" si="0"/>
        <v>4</v>
      </c>
      <c r="L9" s="9">
        <f t="shared" si="0"/>
        <v>2</v>
      </c>
      <c r="M9" s="9">
        <f>SUM(M8:M8)</f>
        <v>20</v>
      </c>
      <c r="N9" s="9">
        <f t="shared" si="0"/>
        <v>3</v>
      </c>
      <c r="O9" s="9">
        <f>SUM(O8:O8)</f>
        <v>2</v>
      </c>
      <c r="P9" s="9">
        <f>SUM(P8:P8)</f>
        <v>19</v>
      </c>
      <c r="Q9" s="9">
        <f>SUM(Q8:Q8)</f>
        <v>4</v>
      </c>
      <c r="R9" s="9">
        <f>SUM(R8:R8)</f>
        <v>2</v>
      </c>
    </row>
    <row r="10" spans="1:18" ht="15.6" x14ac:dyDescent="0.3">
      <c r="A10" s="38" t="s">
        <v>9</v>
      </c>
      <c r="B10" s="39"/>
      <c r="C10" s="11">
        <f>C9*100/C9</f>
        <v>100</v>
      </c>
      <c r="D10" s="10">
        <f>D9*100/C9</f>
        <v>76</v>
      </c>
      <c r="E10" s="10">
        <f>E9*100/C9</f>
        <v>16</v>
      </c>
      <c r="F10" s="10">
        <f>F9*100/C9</f>
        <v>8</v>
      </c>
      <c r="G10" s="10">
        <f>G9*100/C9</f>
        <v>80</v>
      </c>
      <c r="H10" s="10">
        <f>H9*100/C9</f>
        <v>12</v>
      </c>
      <c r="I10" s="10">
        <f>I9*100/C9</f>
        <v>8</v>
      </c>
      <c r="J10" s="10">
        <f>J9*100/C9</f>
        <v>76</v>
      </c>
      <c r="K10" s="10">
        <f>K9*100/C9</f>
        <v>16</v>
      </c>
      <c r="L10" s="10">
        <f>L9*100/C9</f>
        <v>8</v>
      </c>
      <c r="M10" s="10">
        <v>70</v>
      </c>
      <c r="N10" s="10">
        <v>20</v>
      </c>
      <c r="O10" s="10">
        <v>10</v>
      </c>
      <c r="P10" s="10">
        <f>P9*100/C9</f>
        <v>76</v>
      </c>
      <c r="Q10" s="10">
        <f>Q9*100/C9</f>
        <v>16</v>
      </c>
      <c r="R10" s="10">
        <f>R9*100/C9</f>
        <v>8</v>
      </c>
    </row>
  </sheetData>
  <mergeCells count="12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  <mergeCell ref="H5:N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1"/>
  <sheetViews>
    <sheetView zoomScale="84" zoomScaleNormal="84" workbookViewId="0">
      <selection activeCell="D8" sqref="D8:R8"/>
    </sheetView>
  </sheetViews>
  <sheetFormatPr defaultRowHeight="15.6" x14ac:dyDescent="0.3"/>
  <cols>
    <col min="1" max="1" width="9.109375" style="20"/>
    <col min="2" max="2" width="22.88671875" style="20" customWidth="1"/>
    <col min="3" max="3" width="12.5546875" style="20" customWidth="1"/>
    <col min="4" max="18" width="8.6640625" style="20" customWidth="1"/>
  </cols>
  <sheetData>
    <row r="2" spans="1:18" x14ac:dyDescent="0.3">
      <c r="A2" s="34" t="s">
        <v>12</v>
      </c>
      <c r="B2" s="34"/>
      <c r="C2" s="19"/>
      <c r="D2" s="19"/>
      <c r="E2" s="19"/>
      <c r="F2" s="19"/>
      <c r="G2" s="19"/>
      <c r="H2" s="25" t="s">
        <v>19</v>
      </c>
      <c r="I2" s="25"/>
      <c r="J2" s="25"/>
      <c r="K2" s="25"/>
      <c r="L2" s="25"/>
      <c r="M2"/>
      <c r="N2" s="2"/>
      <c r="O2" s="2"/>
      <c r="P2" s="2"/>
      <c r="Q2" s="2"/>
      <c r="R2" s="2"/>
    </row>
    <row r="3" spans="1:1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">
      <c r="A5" s="2"/>
      <c r="B5" s="3"/>
      <c r="C5" s="2"/>
      <c r="D5" s="2"/>
      <c r="E5" s="2"/>
      <c r="F5" s="2"/>
      <c r="G5" s="2"/>
      <c r="H5" s="35" t="s">
        <v>20</v>
      </c>
      <c r="I5" s="35"/>
      <c r="J5" s="35"/>
      <c r="K5" s="35"/>
      <c r="L5" s="35"/>
      <c r="M5" s="35"/>
      <c r="N5" s="35"/>
      <c r="O5" s="2"/>
      <c r="P5" s="2"/>
      <c r="Q5" s="2"/>
      <c r="R5" s="2"/>
    </row>
    <row r="6" spans="1:18" ht="15.75" customHeight="1" x14ac:dyDescent="0.3">
      <c r="A6" s="36" t="s">
        <v>0</v>
      </c>
      <c r="B6" s="31" t="s">
        <v>2</v>
      </c>
      <c r="C6" s="31" t="s">
        <v>8</v>
      </c>
      <c r="D6" s="31" t="s">
        <v>3</v>
      </c>
      <c r="E6" s="31"/>
      <c r="F6" s="31"/>
      <c r="G6" s="31" t="s">
        <v>6</v>
      </c>
      <c r="H6" s="31"/>
      <c r="I6" s="31"/>
      <c r="J6" s="31" t="s">
        <v>4</v>
      </c>
      <c r="K6" s="31"/>
      <c r="L6" s="31"/>
      <c r="M6" s="31" t="s">
        <v>7</v>
      </c>
      <c r="N6" s="31"/>
      <c r="O6" s="31"/>
      <c r="P6" s="31" t="s">
        <v>5</v>
      </c>
      <c r="Q6" s="31"/>
      <c r="R6" s="31"/>
    </row>
    <row r="7" spans="1:18" ht="114.75" customHeight="1" x14ac:dyDescent="0.3">
      <c r="A7" s="36"/>
      <c r="B7" s="31"/>
      <c r="C7" s="31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8">
        <v>1</v>
      </c>
      <c r="B8" s="16" t="s">
        <v>18</v>
      </c>
      <c r="C8" s="15">
        <v>25</v>
      </c>
      <c r="D8" s="29">
        <v>20</v>
      </c>
      <c r="E8" s="29">
        <v>4</v>
      </c>
      <c r="F8" s="29">
        <v>1</v>
      </c>
      <c r="G8" s="29">
        <v>19</v>
      </c>
      <c r="H8" s="29">
        <v>5</v>
      </c>
      <c r="I8" s="29">
        <v>1</v>
      </c>
      <c r="J8" s="29">
        <v>19</v>
      </c>
      <c r="K8" s="29">
        <v>5</v>
      </c>
      <c r="L8" s="29">
        <v>1</v>
      </c>
      <c r="M8" s="29">
        <v>19</v>
      </c>
      <c r="N8" s="29">
        <v>5</v>
      </c>
      <c r="O8" s="29">
        <v>1</v>
      </c>
      <c r="P8" s="29">
        <v>20</v>
      </c>
      <c r="Q8" s="29">
        <v>4</v>
      </c>
      <c r="R8" s="29">
        <v>1</v>
      </c>
    </row>
    <row r="9" spans="1:18" x14ac:dyDescent="0.3">
      <c r="A9" s="14"/>
      <c r="B9" s="1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x14ac:dyDescent="0.3">
      <c r="A10" s="32" t="s">
        <v>1</v>
      </c>
      <c r="B10" s="33"/>
      <c r="C10" s="9">
        <f t="shared" ref="C10:R10" si="0">SUM(C8:C9)</f>
        <v>25</v>
      </c>
      <c r="D10" s="9">
        <f t="shared" si="0"/>
        <v>20</v>
      </c>
      <c r="E10" s="9">
        <f t="shared" si="0"/>
        <v>4</v>
      </c>
      <c r="F10" s="9">
        <f t="shared" si="0"/>
        <v>1</v>
      </c>
      <c r="G10" s="9">
        <f t="shared" si="0"/>
        <v>19</v>
      </c>
      <c r="H10" s="9">
        <f t="shared" si="0"/>
        <v>5</v>
      </c>
      <c r="I10" s="9">
        <f t="shared" si="0"/>
        <v>1</v>
      </c>
      <c r="J10" s="9">
        <f t="shared" si="0"/>
        <v>19</v>
      </c>
      <c r="K10" s="9">
        <f t="shared" si="0"/>
        <v>5</v>
      </c>
      <c r="L10" s="9">
        <f t="shared" si="0"/>
        <v>1</v>
      </c>
      <c r="M10" s="9">
        <f t="shared" si="0"/>
        <v>19</v>
      </c>
      <c r="N10" s="9">
        <f t="shared" si="0"/>
        <v>5</v>
      </c>
      <c r="O10" s="9">
        <f t="shared" si="0"/>
        <v>1</v>
      </c>
      <c r="P10" s="9">
        <f t="shared" si="0"/>
        <v>20</v>
      </c>
      <c r="Q10" s="9">
        <f t="shared" si="0"/>
        <v>4</v>
      </c>
      <c r="R10" s="9">
        <f t="shared" si="0"/>
        <v>1</v>
      </c>
    </row>
    <row r="11" spans="1:18" ht="21.75" customHeight="1" x14ac:dyDescent="0.3">
      <c r="A11" s="38" t="s">
        <v>9</v>
      </c>
      <c r="B11" s="39"/>
      <c r="C11" s="11">
        <f>C10*100/C10</f>
        <v>100</v>
      </c>
      <c r="D11" s="10">
        <f>D10*100/C10</f>
        <v>80</v>
      </c>
      <c r="E11" s="10">
        <f>E10*100/C10</f>
        <v>16</v>
      </c>
      <c r="F11" s="10">
        <f>F10*100/C10</f>
        <v>4</v>
      </c>
      <c r="G11" s="10">
        <f>G10*100/C10</f>
        <v>76</v>
      </c>
      <c r="H11" s="10">
        <f>H10*100/C10</f>
        <v>20</v>
      </c>
      <c r="I11" s="10">
        <f>I10*100/C10</f>
        <v>4</v>
      </c>
      <c r="J11" s="10">
        <f>J10*100/C10</f>
        <v>76</v>
      </c>
      <c r="K11" s="10">
        <f>K10*100/C10</f>
        <v>20</v>
      </c>
      <c r="L11" s="10">
        <f>L10*100/C10</f>
        <v>4</v>
      </c>
      <c r="M11" s="10">
        <f>M10*100/C10</f>
        <v>76</v>
      </c>
      <c r="N11" s="10">
        <f>N10*100/C10</f>
        <v>20</v>
      </c>
      <c r="O11" s="10">
        <f>O10*100/C10</f>
        <v>4</v>
      </c>
      <c r="P11" s="10">
        <f>P10*100/C10</f>
        <v>80</v>
      </c>
      <c r="Q11" s="10">
        <f>Q10*100/C10</f>
        <v>16</v>
      </c>
      <c r="R11" s="10">
        <f>R10*100/C10</f>
        <v>4</v>
      </c>
    </row>
  </sheetData>
  <mergeCells count="12">
    <mergeCell ref="A11:B11"/>
    <mergeCell ref="M6:O6"/>
    <mergeCell ref="P6:R6"/>
    <mergeCell ref="A10:B10"/>
    <mergeCell ref="A2:B2"/>
    <mergeCell ref="A6:A7"/>
    <mergeCell ref="B6:B7"/>
    <mergeCell ref="C6:C7"/>
    <mergeCell ref="D6:F6"/>
    <mergeCell ref="G6:I6"/>
    <mergeCell ref="J6:L6"/>
    <mergeCell ref="H5:N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R10"/>
  <sheetViews>
    <sheetView workbookViewId="0">
      <selection activeCell="D8" sqref="D8:R8"/>
    </sheetView>
  </sheetViews>
  <sheetFormatPr defaultRowHeight="14.4" x14ac:dyDescent="0.3"/>
  <cols>
    <col min="1" max="1" width="4.88671875" customWidth="1"/>
    <col min="2" max="2" width="22.6640625" customWidth="1"/>
    <col min="3" max="18" width="7.109375" customWidth="1"/>
  </cols>
  <sheetData>
    <row r="2" spans="1:18" ht="15.6" x14ac:dyDescent="0.3">
      <c r="A2" s="34" t="s">
        <v>12</v>
      </c>
      <c r="B2" s="34"/>
      <c r="C2" s="12"/>
      <c r="D2" s="12"/>
      <c r="E2" s="12"/>
      <c r="F2" s="12"/>
      <c r="G2" s="25" t="s">
        <v>19</v>
      </c>
      <c r="H2" s="25"/>
      <c r="I2" s="25"/>
      <c r="J2" s="25"/>
      <c r="K2" s="25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35" t="s">
        <v>20</v>
      </c>
      <c r="H5" s="35"/>
      <c r="I5" s="35"/>
      <c r="J5" s="35"/>
      <c r="K5" s="35"/>
      <c r="L5" s="35"/>
      <c r="M5" s="35"/>
      <c r="N5" s="2"/>
      <c r="O5" s="2"/>
      <c r="P5" s="2"/>
      <c r="Q5" s="2"/>
      <c r="R5" s="2"/>
    </row>
    <row r="6" spans="1:18" ht="15.6" x14ac:dyDescent="0.3">
      <c r="A6" s="36" t="s">
        <v>0</v>
      </c>
      <c r="B6" s="31" t="s">
        <v>2</v>
      </c>
      <c r="C6" s="31" t="s">
        <v>8</v>
      </c>
      <c r="D6" s="31" t="s">
        <v>3</v>
      </c>
      <c r="E6" s="31"/>
      <c r="F6" s="31"/>
      <c r="G6" s="31" t="s">
        <v>6</v>
      </c>
      <c r="H6" s="31"/>
      <c r="I6" s="31"/>
      <c r="J6" s="31" t="s">
        <v>4</v>
      </c>
      <c r="K6" s="31"/>
      <c r="L6" s="31"/>
      <c r="M6" s="31" t="s">
        <v>7</v>
      </c>
      <c r="N6" s="31"/>
      <c r="O6" s="31"/>
      <c r="P6" s="31" t="s">
        <v>5</v>
      </c>
      <c r="Q6" s="31"/>
      <c r="R6" s="31"/>
    </row>
    <row r="7" spans="1:18" ht="124.8" x14ac:dyDescent="0.3">
      <c r="A7" s="36"/>
      <c r="B7" s="31"/>
      <c r="C7" s="31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8">
        <v>1</v>
      </c>
      <c r="B8" s="44" t="s">
        <v>23</v>
      </c>
      <c r="C8" s="15">
        <v>25</v>
      </c>
      <c r="D8" s="29">
        <v>19</v>
      </c>
      <c r="E8" s="29">
        <v>5</v>
      </c>
      <c r="F8" s="29">
        <v>1</v>
      </c>
      <c r="G8" s="29">
        <v>18</v>
      </c>
      <c r="H8" s="29">
        <v>5</v>
      </c>
      <c r="I8" s="29">
        <v>2</v>
      </c>
      <c r="J8" s="29">
        <v>18</v>
      </c>
      <c r="K8" s="29">
        <v>5</v>
      </c>
      <c r="L8" s="29">
        <v>2</v>
      </c>
      <c r="M8" s="29">
        <v>18</v>
      </c>
      <c r="N8" s="29">
        <v>5</v>
      </c>
      <c r="O8" s="29">
        <v>2</v>
      </c>
      <c r="P8" s="29">
        <v>18</v>
      </c>
      <c r="Q8" s="29">
        <v>5</v>
      </c>
      <c r="R8" s="29">
        <v>2</v>
      </c>
    </row>
    <row r="9" spans="1:18" ht="15.6" x14ac:dyDescent="0.3">
      <c r="A9" s="32" t="s">
        <v>1</v>
      </c>
      <c r="B9" s="33"/>
      <c r="C9" s="9">
        <f t="shared" ref="C9:N9" si="0">SUM(C8:C8)</f>
        <v>25</v>
      </c>
      <c r="D9" s="9">
        <f t="shared" si="0"/>
        <v>19</v>
      </c>
      <c r="E9" s="9">
        <f t="shared" si="0"/>
        <v>5</v>
      </c>
      <c r="F9" s="9">
        <f t="shared" si="0"/>
        <v>1</v>
      </c>
      <c r="G9" s="9">
        <f t="shared" si="0"/>
        <v>18</v>
      </c>
      <c r="H9" s="9">
        <f t="shared" si="0"/>
        <v>5</v>
      </c>
      <c r="I9" s="9">
        <f t="shared" si="0"/>
        <v>2</v>
      </c>
      <c r="J9" s="9">
        <f t="shared" si="0"/>
        <v>18</v>
      </c>
      <c r="K9" s="9">
        <f t="shared" si="0"/>
        <v>5</v>
      </c>
      <c r="L9" s="9">
        <f t="shared" si="0"/>
        <v>2</v>
      </c>
      <c r="M9" s="9">
        <f t="shared" si="0"/>
        <v>18</v>
      </c>
      <c r="N9" s="9">
        <f t="shared" si="0"/>
        <v>5</v>
      </c>
      <c r="O9" s="9">
        <v>3</v>
      </c>
      <c r="P9" s="9">
        <f>SUM(P8:P8)</f>
        <v>18</v>
      </c>
      <c r="Q9" s="9">
        <f>SUM(Q8:Q8)</f>
        <v>5</v>
      </c>
      <c r="R9" s="9">
        <f>SUM(R8:R8)</f>
        <v>2</v>
      </c>
    </row>
    <row r="10" spans="1:18" ht="15.6" x14ac:dyDescent="0.3">
      <c r="A10" s="38" t="s">
        <v>9</v>
      </c>
      <c r="B10" s="39"/>
      <c r="C10" s="11">
        <f>C9*100/C9</f>
        <v>100</v>
      </c>
      <c r="D10" s="10">
        <f>D9*100/C9</f>
        <v>76</v>
      </c>
      <c r="E10" s="10">
        <f>E9*100/C9</f>
        <v>20</v>
      </c>
      <c r="F10" s="10">
        <f>F9*100/C9</f>
        <v>4</v>
      </c>
      <c r="G10" s="10">
        <f>G9*100/C9</f>
        <v>72</v>
      </c>
      <c r="H10" s="10">
        <f>H9*100/C9</f>
        <v>20</v>
      </c>
      <c r="I10" s="10">
        <f>I9*100/C9</f>
        <v>8</v>
      </c>
      <c r="J10" s="10">
        <f>J9*100/C9</f>
        <v>72</v>
      </c>
      <c r="K10" s="10">
        <f>K9*100/C9</f>
        <v>20</v>
      </c>
      <c r="L10" s="10">
        <f>L9*100/C9</f>
        <v>8</v>
      </c>
      <c r="M10" s="10">
        <v>78</v>
      </c>
      <c r="N10" s="10">
        <f>N9*100/C9</f>
        <v>20</v>
      </c>
      <c r="O10" s="10">
        <f>O9*100/C9</f>
        <v>12</v>
      </c>
      <c r="P10" s="10">
        <f>P9*100/C9</f>
        <v>72</v>
      </c>
      <c r="Q10" s="10">
        <f>Q9*100/C9</f>
        <v>20</v>
      </c>
      <c r="R10" s="10">
        <f>R9*100/C9</f>
        <v>8</v>
      </c>
    </row>
  </sheetData>
  <mergeCells count="12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  <mergeCell ref="G5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3"/>
  <sheetViews>
    <sheetView workbookViewId="0">
      <selection activeCell="D7" sqref="D7:R7"/>
    </sheetView>
  </sheetViews>
  <sheetFormatPr defaultRowHeight="14.4" x14ac:dyDescent="0.3"/>
  <cols>
    <col min="1" max="1" width="3.88671875" customWidth="1"/>
    <col min="2" max="2" width="21.6640625" customWidth="1"/>
    <col min="3" max="3" width="9.5546875" bestFit="1" customWidth="1"/>
    <col min="4" max="18" width="9.44140625" bestFit="1" customWidth="1"/>
  </cols>
  <sheetData>
    <row r="1" spans="1:18" x14ac:dyDescent="0.3">
      <c r="B1" s="30" t="s">
        <v>21</v>
      </c>
      <c r="O1" s="41" t="s">
        <v>11</v>
      </c>
      <c r="P1" s="41"/>
    </row>
    <row r="2" spans="1:18" ht="15.6" x14ac:dyDescent="0.3">
      <c r="B2" s="5" t="s">
        <v>12</v>
      </c>
      <c r="C2" s="5"/>
      <c r="D2" s="1"/>
      <c r="F2" s="1"/>
      <c r="G2" s="1"/>
      <c r="H2" s="24" t="s">
        <v>19</v>
      </c>
      <c r="I2" s="25"/>
      <c r="J2" s="25"/>
      <c r="K2" s="25"/>
      <c r="L2" s="25"/>
      <c r="M2" s="2"/>
      <c r="N2" s="2"/>
      <c r="O2" s="2"/>
      <c r="P2" s="2"/>
    </row>
    <row r="3" spans="1:18" ht="15.6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D4" s="6"/>
      <c r="F4" s="2"/>
      <c r="G4" s="2"/>
      <c r="H4" s="35" t="s">
        <v>20</v>
      </c>
      <c r="I4" s="35"/>
      <c r="J4" s="35"/>
      <c r="K4" s="35"/>
      <c r="L4" s="35"/>
      <c r="M4" s="35"/>
      <c r="N4" s="35"/>
      <c r="O4" s="2"/>
      <c r="P4" s="2"/>
      <c r="Q4" s="2"/>
      <c r="R4" s="2"/>
    </row>
    <row r="5" spans="1:18" ht="15.75" customHeight="1" x14ac:dyDescent="0.3">
      <c r="A5" s="28"/>
      <c r="B5" s="42" t="s">
        <v>14</v>
      </c>
      <c r="C5" s="31" t="s">
        <v>13</v>
      </c>
      <c r="D5" s="31" t="s">
        <v>3</v>
      </c>
      <c r="E5" s="31"/>
      <c r="F5" s="31"/>
      <c r="G5" s="31" t="s">
        <v>6</v>
      </c>
      <c r="H5" s="31"/>
      <c r="I5" s="31"/>
      <c r="J5" s="31" t="s">
        <v>4</v>
      </c>
      <c r="K5" s="31"/>
      <c r="L5" s="31"/>
      <c r="M5" s="31" t="s">
        <v>7</v>
      </c>
      <c r="N5" s="31"/>
      <c r="O5" s="31"/>
      <c r="P5" s="31" t="s">
        <v>5</v>
      </c>
      <c r="Q5" s="31"/>
      <c r="R5" s="31"/>
    </row>
    <row r="6" spans="1:18" ht="62.4" x14ac:dyDescent="0.3">
      <c r="A6" s="28"/>
      <c r="B6" s="43"/>
      <c r="C6" s="31"/>
      <c r="D6" s="4" t="s">
        <v>15</v>
      </c>
      <c r="E6" s="4" t="s">
        <v>16</v>
      </c>
      <c r="F6" s="4" t="s">
        <v>17</v>
      </c>
      <c r="G6" s="4" t="s">
        <v>15</v>
      </c>
      <c r="H6" s="4" t="s">
        <v>16</v>
      </c>
      <c r="I6" s="4" t="s">
        <v>17</v>
      </c>
      <c r="J6" s="4" t="s">
        <v>15</v>
      </c>
      <c r="K6" s="4" t="s">
        <v>16</v>
      </c>
      <c r="L6" s="4" t="s">
        <v>17</v>
      </c>
      <c r="M6" s="4" t="s">
        <v>15</v>
      </c>
      <c r="N6" s="4" t="s">
        <v>16</v>
      </c>
      <c r="O6" s="4" t="s">
        <v>17</v>
      </c>
      <c r="P6" s="4" t="s">
        <v>15</v>
      </c>
      <c r="Q6" s="4" t="s">
        <v>16</v>
      </c>
      <c r="R6" s="4" t="s">
        <v>17</v>
      </c>
    </row>
    <row r="7" spans="1:18" ht="31.2" x14ac:dyDescent="0.3">
      <c r="A7" s="28">
        <v>1</v>
      </c>
      <c r="B7" s="44" t="s">
        <v>22</v>
      </c>
      <c r="C7" s="9">
        <v>25</v>
      </c>
      <c r="D7" s="9">
        <v>19</v>
      </c>
      <c r="E7" s="9">
        <v>4</v>
      </c>
      <c r="F7" s="9">
        <v>2</v>
      </c>
      <c r="G7" s="9">
        <v>20</v>
      </c>
      <c r="H7" s="9">
        <v>3</v>
      </c>
      <c r="I7" s="9">
        <v>2</v>
      </c>
      <c r="J7" s="9">
        <v>19</v>
      </c>
      <c r="K7" s="9">
        <v>4</v>
      </c>
      <c r="L7" s="9">
        <v>2</v>
      </c>
      <c r="M7" s="9">
        <v>20</v>
      </c>
      <c r="N7" s="9">
        <v>3</v>
      </c>
      <c r="O7" s="9">
        <v>2</v>
      </c>
      <c r="P7" s="9">
        <v>19</v>
      </c>
      <c r="Q7" s="9">
        <v>4</v>
      </c>
      <c r="R7" s="9">
        <v>2</v>
      </c>
    </row>
    <row r="8" spans="1:18" ht="31.2" x14ac:dyDescent="0.3">
      <c r="A8" s="28">
        <v>2</v>
      </c>
      <c r="B8" s="44" t="s">
        <v>18</v>
      </c>
      <c r="C8" s="9">
        <v>25</v>
      </c>
      <c r="D8" s="29">
        <v>20</v>
      </c>
      <c r="E8" s="29">
        <v>4</v>
      </c>
      <c r="F8" s="29">
        <v>1</v>
      </c>
      <c r="G8" s="29">
        <v>19</v>
      </c>
      <c r="H8" s="29">
        <v>5</v>
      </c>
      <c r="I8" s="29">
        <v>1</v>
      </c>
      <c r="J8" s="29">
        <v>19</v>
      </c>
      <c r="K8" s="29">
        <v>5</v>
      </c>
      <c r="L8" s="29">
        <v>1</v>
      </c>
      <c r="M8" s="29">
        <v>19</v>
      </c>
      <c r="N8" s="29">
        <v>5</v>
      </c>
      <c r="O8" s="29">
        <v>1</v>
      </c>
      <c r="P8" s="29">
        <v>20</v>
      </c>
      <c r="Q8" s="29">
        <v>4</v>
      </c>
      <c r="R8" s="29">
        <v>1</v>
      </c>
    </row>
    <row r="9" spans="1:18" ht="31.2" x14ac:dyDescent="0.3">
      <c r="A9" s="28">
        <v>3</v>
      </c>
      <c r="B9" s="44" t="s">
        <v>23</v>
      </c>
      <c r="C9" s="9">
        <v>25</v>
      </c>
      <c r="D9" s="29">
        <v>19</v>
      </c>
      <c r="E9" s="29">
        <v>5</v>
      </c>
      <c r="F9" s="29">
        <v>1</v>
      </c>
      <c r="G9" s="29">
        <v>18</v>
      </c>
      <c r="H9" s="29">
        <v>5</v>
      </c>
      <c r="I9" s="29">
        <v>2</v>
      </c>
      <c r="J9" s="29">
        <v>18</v>
      </c>
      <c r="K9" s="29">
        <v>5</v>
      </c>
      <c r="L9" s="29">
        <v>2</v>
      </c>
      <c r="M9" s="29">
        <v>18</v>
      </c>
      <c r="N9" s="29">
        <v>5</v>
      </c>
      <c r="O9" s="29">
        <v>2</v>
      </c>
      <c r="P9" s="29">
        <v>18</v>
      </c>
      <c r="Q9" s="29">
        <v>5</v>
      </c>
      <c r="R9" s="29">
        <v>2</v>
      </c>
    </row>
    <row r="10" spans="1:18" ht="15.6" x14ac:dyDescent="0.3">
      <c r="A10" s="28"/>
      <c r="B10" s="26" t="s">
        <v>1</v>
      </c>
      <c r="C10" s="15">
        <f>SUM(C7:C9)</f>
        <v>75</v>
      </c>
      <c r="D10" s="9">
        <f>SUM(D7:D9)</f>
        <v>58</v>
      </c>
      <c r="E10" s="9">
        <f>SUM(E7:E9)</f>
        <v>13</v>
      </c>
      <c r="F10" s="9">
        <f>SUM(F7:F9)</f>
        <v>4</v>
      </c>
      <c r="G10" s="9">
        <f>SUM(G7:G9)</f>
        <v>57</v>
      </c>
      <c r="H10" s="9">
        <f>SUM(H7:H9)</f>
        <v>13</v>
      </c>
      <c r="I10" s="9">
        <f>SUM(I7:I9)</f>
        <v>5</v>
      </c>
      <c r="J10" s="9">
        <f>SUM(J7:J9)</f>
        <v>56</v>
      </c>
      <c r="K10" s="9">
        <f>SUM(K7:K9)</f>
        <v>14</v>
      </c>
      <c r="L10" s="9">
        <f>SUM(L7:L9)</f>
        <v>5</v>
      </c>
      <c r="M10" s="9">
        <f>SUM(M7:M9)</f>
        <v>57</v>
      </c>
      <c r="N10" s="9">
        <f>SUM(N7:N9)</f>
        <v>13</v>
      </c>
      <c r="O10" s="9">
        <f>SUM(O7:O9)</f>
        <v>5</v>
      </c>
      <c r="P10" s="9">
        <f>SUM(P7:P9)</f>
        <v>57</v>
      </c>
      <c r="Q10" s="9">
        <f>SUM(Q7:Q9)</f>
        <v>13</v>
      </c>
      <c r="R10" s="9">
        <f>SUM(R7:R9)</f>
        <v>5</v>
      </c>
    </row>
    <row r="11" spans="1:18" ht="17.25" customHeight="1" x14ac:dyDescent="0.3">
      <c r="A11" s="28"/>
      <c r="B11" s="27" t="s">
        <v>10</v>
      </c>
      <c r="C11" s="11">
        <f>C10*100/C10</f>
        <v>100</v>
      </c>
      <c r="D11" s="10">
        <f>D10*100/C10</f>
        <v>77.333333333333329</v>
      </c>
      <c r="E11" s="10">
        <f>E10*100/C10</f>
        <v>17.333333333333332</v>
      </c>
      <c r="F11" s="10">
        <f>F10*100/C10</f>
        <v>5.333333333333333</v>
      </c>
      <c r="G11" s="10">
        <f>G10*100/C10</f>
        <v>76</v>
      </c>
      <c r="H11" s="10">
        <f>H10*100/C10</f>
        <v>17.333333333333332</v>
      </c>
      <c r="I11" s="10">
        <f>I10*100/C10</f>
        <v>6.666666666666667</v>
      </c>
      <c r="J11" s="10">
        <f>J10*100/C10</f>
        <v>74.666666666666671</v>
      </c>
      <c r="K11" s="10">
        <f>K10*100/C10</f>
        <v>18.666666666666668</v>
      </c>
      <c r="L11" s="10">
        <f>L10*100/C10</f>
        <v>6.666666666666667</v>
      </c>
      <c r="M11" s="10">
        <f>M10*100/C10</f>
        <v>76</v>
      </c>
      <c r="N11" s="10">
        <f>N10*100/C10</f>
        <v>17.333333333333332</v>
      </c>
      <c r="O11" s="10">
        <f>O10*100/C10</f>
        <v>6.666666666666667</v>
      </c>
      <c r="P11" s="10">
        <f>P10*100/C10</f>
        <v>76</v>
      </c>
      <c r="Q11" s="10">
        <f>Q10*100/C10</f>
        <v>17.333333333333332</v>
      </c>
      <c r="R11" s="10">
        <f>R10*100/C10</f>
        <v>6.666666666666667</v>
      </c>
    </row>
    <row r="12" spans="1:18" ht="15.6" x14ac:dyDescent="0.3">
      <c r="B12" s="2"/>
      <c r="C12" s="2"/>
      <c r="D12" s="2"/>
      <c r="E12" s="2"/>
      <c r="F12" s="2"/>
      <c r="G12" s="13"/>
      <c r="H12" s="13"/>
      <c r="I12" s="13"/>
      <c r="J12" s="2"/>
      <c r="K12" s="2"/>
      <c r="L12" s="2"/>
      <c r="M12" s="2"/>
      <c r="N12" s="2"/>
      <c r="O12" s="2"/>
      <c r="P12" s="2"/>
      <c r="Q12" s="2"/>
      <c r="R12" s="2"/>
    </row>
    <row r="13" spans="1:18" ht="15.6" x14ac:dyDescent="0.3">
      <c r="B13" s="2"/>
      <c r="C13" s="2"/>
      <c r="D13" s="2"/>
      <c r="E13" s="2"/>
      <c r="F13" s="2"/>
      <c r="G13" s="13"/>
      <c r="H13" s="13"/>
      <c r="I13" s="13"/>
      <c r="J13" s="2"/>
      <c r="K13" s="2"/>
      <c r="L13" s="2"/>
      <c r="M13" s="2"/>
      <c r="N13" s="2"/>
      <c r="O13" s="2"/>
      <c r="P13" s="2"/>
      <c r="Q13" s="2"/>
      <c r="R13" s="2"/>
    </row>
    <row r="14" spans="1:18" ht="15.6" x14ac:dyDescent="0.3">
      <c r="B14" s="2"/>
      <c r="C14" s="2"/>
      <c r="D14" s="2"/>
      <c r="E14" s="2"/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.6" x14ac:dyDescent="0.3">
      <c r="B15" s="2"/>
      <c r="C15" s="2"/>
      <c r="D15" s="2"/>
      <c r="E15" s="2"/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.6" x14ac:dyDescent="0.3">
      <c r="B16" s="2"/>
      <c r="C16" s="2"/>
      <c r="D16" s="2"/>
      <c r="E16" s="2"/>
      <c r="F16" s="2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 ht="15.6" x14ac:dyDescent="0.3">
      <c r="B17" s="2"/>
      <c r="C17" s="2"/>
      <c r="D17" s="2"/>
      <c r="E17" s="2"/>
      <c r="F17" s="2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ht="15.6" x14ac:dyDescent="0.3">
      <c r="B18" s="2"/>
      <c r="C18" s="2"/>
      <c r="D18" s="2"/>
      <c r="E18" s="2"/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 ht="15.6" x14ac:dyDescent="0.3">
      <c r="B19" s="2"/>
      <c r="C19" s="2"/>
      <c r="D19" s="2"/>
      <c r="E19" s="2"/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ht="15.6" x14ac:dyDescent="0.3">
      <c r="B20" s="2"/>
      <c r="C20" s="2"/>
      <c r="D20" s="2"/>
      <c r="E20" s="2"/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 ht="15.6" x14ac:dyDescent="0.3">
      <c r="B21" s="2"/>
      <c r="C21" s="2"/>
      <c r="D21" s="2"/>
      <c r="E21" s="2"/>
      <c r="F21" s="2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5.6" x14ac:dyDescent="0.3">
      <c r="B22" s="2"/>
      <c r="C22" s="2"/>
      <c r="D22" s="2"/>
      <c r="E22" s="2"/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 ht="15.6" x14ac:dyDescent="0.3">
      <c r="B23" s="2"/>
      <c r="C23" s="2"/>
      <c r="D23" s="2"/>
      <c r="E23" s="2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 ht="15.6" x14ac:dyDescent="0.3">
      <c r="B24" s="2"/>
      <c r="C24" s="2"/>
      <c r="D24" s="2"/>
      <c r="E24" s="2"/>
      <c r="F24" s="2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 ht="15.6" x14ac:dyDescent="0.3">
      <c r="B25" s="2"/>
      <c r="C25" s="2"/>
      <c r="D25" s="2"/>
      <c r="E25" s="2"/>
      <c r="F25" s="2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ht="15.6" x14ac:dyDescent="0.3">
      <c r="B26" s="2"/>
      <c r="C26" s="2"/>
      <c r="D26" s="2"/>
      <c r="E26" s="2"/>
      <c r="F26" s="2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 ht="15.6" x14ac:dyDescent="0.3">
      <c r="B27" s="2"/>
      <c r="C27" s="2"/>
      <c r="D27" s="2"/>
      <c r="E27" s="2"/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 ht="15.6" x14ac:dyDescent="0.3">
      <c r="B28" s="7"/>
      <c r="C28" s="2"/>
      <c r="D28" s="2"/>
      <c r="E28" s="2"/>
      <c r="F28" s="2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 ht="15.6" x14ac:dyDescent="0.3">
      <c r="B29" s="8"/>
      <c r="C29" s="2"/>
      <c r="D29" s="2"/>
      <c r="E29" s="2"/>
      <c r="F29" s="2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18" x14ac:dyDescent="0.3">
      <c r="F30" s="21"/>
    </row>
    <row r="31" spans="2:18" x14ac:dyDescent="0.3">
      <c r="F31" s="21"/>
    </row>
    <row r="32" spans="2:18" x14ac:dyDescent="0.3">
      <c r="F32" s="21"/>
    </row>
    <row r="33" spans="6:6" x14ac:dyDescent="0.3">
      <c r="F33" s="23"/>
    </row>
  </sheetData>
  <mergeCells count="9">
    <mergeCell ref="O1:P1"/>
    <mergeCell ref="P5:R5"/>
    <mergeCell ref="H4:N4"/>
    <mergeCell ref="B5:B6"/>
    <mergeCell ref="C5:C6"/>
    <mergeCell ref="D5:F5"/>
    <mergeCell ref="G5:I5"/>
    <mergeCell ref="J5:L5"/>
    <mergeCell ref="M5:O5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«Бүлдіршін» ортаңғы тобы</vt:lpstr>
      <vt:lpstr>«Айгөлек» ересек тобы</vt:lpstr>
      <vt:lpstr>«Қарлығаш» мектепалды тобы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2026-01-15T06:24:47Z</dcterms:modified>
</cp:coreProperties>
</file>