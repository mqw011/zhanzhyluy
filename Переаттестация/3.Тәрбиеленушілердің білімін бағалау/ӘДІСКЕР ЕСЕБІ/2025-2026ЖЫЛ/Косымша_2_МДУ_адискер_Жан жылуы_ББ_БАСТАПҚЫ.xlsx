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5-2026ЖЫЛ\"/>
    </mc:Choice>
  </mc:AlternateContent>
  <xr:revisionPtr revIDLastSave="0" documentId="13_ncr:1_{DF7D3170-6C65-4A2E-B47F-DF2EE4F30BA6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«Бүлдіршін» ортаңғы тобы" sheetId="11" r:id="rId1"/>
    <sheet name="«Айгөлек» ересек тобы" sheetId="12" r:id="rId2"/>
    <sheet name="«Қарлығаш» 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16" l="1"/>
  <c r="M10" i="16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C10" i="16" l="1"/>
  <c r="D10" i="16"/>
  <c r="E10" i="16"/>
  <c r="F10" i="16"/>
  <c r="G10" i="16"/>
  <c r="H10" i="16"/>
  <c r="I10" i="16"/>
  <c r="J10" i="16"/>
  <c r="K10" i="16"/>
  <c r="L10" i="16"/>
  <c r="N10" i="16"/>
  <c r="O10" i="16"/>
  <c r="P10" i="16"/>
  <c r="B10" i="16"/>
  <c r="Q11" i="16" s="1"/>
  <c r="P11" i="16" l="1"/>
  <c r="V9" i="16"/>
  <c r="V8" i="16"/>
  <c r="V7" i="16"/>
  <c r="T9" i="16"/>
  <c r="T8" i="16"/>
  <c r="U8" i="16" s="1"/>
  <c r="T7" i="16"/>
  <c r="R9" i="16"/>
  <c r="S9" i="16" s="1"/>
  <c r="R8" i="16"/>
  <c r="R7" i="16"/>
  <c r="S9" i="12"/>
  <c r="T9" i="12"/>
  <c r="U9" i="12"/>
  <c r="V9" i="12"/>
  <c r="W9" i="12"/>
  <c r="X9" i="12"/>
  <c r="Y9" i="12"/>
  <c r="Z9" i="12"/>
  <c r="AA9" i="12"/>
  <c r="AB9" i="12"/>
  <c r="AC9" i="12"/>
  <c r="AD9" i="12"/>
  <c r="G9" i="12"/>
  <c r="H9" i="12"/>
  <c r="I9" i="12"/>
  <c r="J9" i="12"/>
  <c r="K9" i="12"/>
  <c r="L9" i="12"/>
  <c r="S9" i="11"/>
  <c r="T9" i="11"/>
  <c r="U9" i="11"/>
  <c r="V9" i="11"/>
  <c r="W9" i="11"/>
  <c r="X9" i="11"/>
  <c r="Y9" i="11"/>
  <c r="Z9" i="11"/>
  <c r="AA9" i="11"/>
  <c r="AB9" i="11"/>
  <c r="AC9" i="11"/>
  <c r="AD9" i="11"/>
  <c r="G9" i="11"/>
  <c r="H9" i="11"/>
  <c r="I9" i="11"/>
  <c r="J9" i="11"/>
  <c r="K9" i="11"/>
  <c r="L9" i="11"/>
  <c r="C9" i="11"/>
  <c r="AA10" i="11" l="1"/>
  <c r="I10" i="11"/>
  <c r="Y10" i="11"/>
  <c r="U10" i="11"/>
  <c r="K10" i="11"/>
  <c r="G10" i="11"/>
  <c r="J10" i="11"/>
  <c r="W10" i="11"/>
  <c r="AB10" i="11"/>
  <c r="AD10" i="11"/>
  <c r="Z10" i="11"/>
  <c r="V10" i="11"/>
  <c r="S10" i="11"/>
  <c r="X10" i="11"/>
  <c r="AC10" i="11"/>
  <c r="H10" i="11"/>
  <c r="L10" i="11"/>
  <c r="T10" i="11"/>
  <c r="D9" i="11" l="1"/>
  <c r="D10" i="11" s="1"/>
  <c r="Q10" i="13"/>
  <c r="U10" i="13"/>
  <c r="AK10" i="13"/>
  <c r="AJ9" i="12"/>
  <c r="C9" i="12"/>
  <c r="D9" i="12"/>
  <c r="E9" i="12"/>
  <c r="F9" i="12"/>
  <c r="M9" i="12"/>
  <c r="N9" i="12"/>
  <c r="O9" i="12"/>
  <c r="P9" i="12"/>
  <c r="Q9" i="12"/>
  <c r="R9" i="12"/>
  <c r="AE9" i="12"/>
  <c r="AG9" i="12"/>
  <c r="AH9" i="12"/>
  <c r="AI9" i="12"/>
  <c r="AF9" i="12"/>
  <c r="E9" i="11"/>
  <c r="F9" i="11"/>
  <c r="M9" i="11"/>
  <c r="M10" i="11" s="1"/>
  <c r="N9" i="11"/>
  <c r="N10" i="11" s="1"/>
  <c r="O9" i="11"/>
  <c r="O10" i="11" s="1"/>
  <c r="P9" i="11"/>
  <c r="P10" i="11" s="1"/>
  <c r="Q9" i="11"/>
  <c r="Q10" i="11" s="1"/>
  <c r="R9" i="11"/>
  <c r="R10" i="11" s="1"/>
  <c r="AE9" i="11"/>
  <c r="AE10" i="11" s="1"/>
  <c r="AF9" i="11"/>
  <c r="AF10" i="11" s="1"/>
  <c r="AG9" i="11"/>
  <c r="AG10" i="11" s="1"/>
  <c r="AH9" i="11"/>
  <c r="AH10" i="11" s="1"/>
  <c r="AI9" i="11"/>
  <c r="AI10" i="11" s="1"/>
  <c r="AJ9" i="11"/>
  <c r="AJ10" i="11" s="1"/>
  <c r="AH10" i="12" l="1"/>
  <c r="Q10" i="12"/>
  <c r="M10" i="12"/>
  <c r="AL10" i="13"/>
  <c r="V10" i="13"/>
  <c r="R10" i="13"/>
  <c r="AN10" i="13"/>
  <c r="AJ10" i="13"/>
  <c r="T10" i="13"/>
  <c r="AM10" i="13"/>
  <c r="AI10" i="13"/>
  <c r="S10" i="13"/>
  <c r="AG10" i="12"/>
  <c r="P10" i="12"/>
  <c r="AJ10" i="12"/>
  <c r="M10" i="13"/>
  <c r="I10" i="13"/>
  <c r="AF10" i="13"/>
  <c r="AB10" i="13"/>
  <c r="X10" i="13"/>
  <c r="P10" i="13"/>
  <c r="L10" i="13"/>
  <c r="H10" i="13"/>
  <c r="AC10" i="13"/>
  <c r="AE10" i="13"/>
  <c r="AG10" i="13"/>
  <c r="N10" i="13"/>
  <c r="Y10" i="13"/>
  <c r="AA10" i="13"/>
  <c r="Z10" i="13"/>
  <c r="K10" i="13"/>
  <c r="J10" i="13"/>
  <c r="O10" i="13"/>
  <c r="AD10" i="13"/>
  <c r="W10" i="13"/>
  <c r="AH10" i="13"/>
  <c r="AF10" i="12"/>
  <c r="AE10" i="12"/>
  <c r="O10" i="12"/>
  <c r="AA10" i="12"/>
  <c r="T10" i="12"/>
  <c r="L10" i="12"/>
  <c r="H10" i="12"/>
  <c r="AC10" i="12"/>
  <c r="X10" i="12"/>
  <c r="S10" i="12"/>
  <c r="K10" i="12"/>
  <c r="G10" i="12"/>
  <c r="I10" i="12"/>
  <c r="AB10" i="12"/>
  <c r="W10" i="12"/>
  <c r="Z10" i="12"/>
  <c r="AD10" i="12"/>
  <c r="Y10" i="12"/>
  <c r="U10" i="12"/>
  <c r="V10" i="12"/>
  <c r="J10" i="12"/>
  <c r="AI10" i="12"/>
  <c r="R10" i="12"/>
  <c r="N10" i="12"/>
  <c r="I11" i="16"/>
  <c r="F10" i="13"/>
  <c r="G10" i="13"/>
  <c r="D10" i="13"/>
  <c r="E10" i="13"/>
  <c r="E10" i="12"/>
  <c r="F10" i="12"/>
  <c r="C10" i="12"/>
  <c r="D10" i="12"/>
  <c r="F10" i="11"/>
  <c r="N11" i="16"/>
  <c r="J11" i="16"/>
  <c r="B11" i="16"/>
  <c r="F11" i="16"/>
  <c r="M11" i="16"/>
  <c r="E11" i="16"/>
  <c r="C11" i="16"/>
  <c r="G11" i="16"/>
  <c r="K11" i="16"/>
  <c r="O11" i="16"/>
  <c r="D11" i="16"/>
  <c r="H11" i="16"/>
  <c r="L11" i="16"/>
  <c r="C10" i="11"/>
  <c r="E10" i="11"/>
</calcChain>
</file>

<file path=xl/sharedStrings.xml><?xml version="1.0" encoding="utf-8"?>
<sst xmlns="http://schemas.openxmlformats.org/spreadsheetml/2006/main" count="217" uniqueCount="38">
  <si>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</si>
  <si>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</si>
  <si>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</si>
  <si>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</si>
  <si>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</si>
  <si>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</si>
  <si>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</si>
  <si>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</si>
  <si>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</si>
  <si>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</si>
  <si>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</si>
  <si>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</si>
  <si>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</si>
  <si>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</si>
  <si>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</si>
  <si>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</si>
  <si>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</si>
  <si>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</si>
  <si>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</si>
  <si>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</si>
  <si>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</si>
  <si>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</si>
  <si>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</si>
  <si>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</si>
  <si>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</si>
  <si>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</si>
  <si>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Мектепке дейінгі ұйым бойынша әдіскерінің жинағы</t>
  </si>
  <si>
    <t>БАРЛЫҒЫ</t>
  </si>
  <si>
    <t xml:space="preserve">Жас ерекшелік топтары </t>
  </si>
  <si>
    <t xml:space="preserve">Оқыту тілі: Қазақша </t>
  </si>
  <si>
    <r>
      <t xml:space="preserve">«Айголек» ересек   тобы (4 </t>
    </r>
    <r>
      <rPr>
        <sz val="14"/>
        <color rgb="FF000000"/>
        <rFont val="Times New Roman"/>
        <family val="1"/>
        <charset val="204"/>
      </rPr>
      <t>жастағы балалар</t>
    </r>
    <r>
      <rPr>
        <sz val="14"/>
        <color theme="1"/>
        <rFont val="Times New Roman"/>
        <family val="1"/>
        <charset val="204"/>
      </rPr>
      <t xml:space="preserve">) </t>
    </r>
  </si>
  <si>
    <t>МДҰ атауы: ЖМ «Жан жылуы» бөбекжай-балабақшасы</t>
  </si>
  <si>
    <t>Әдіскерінің аты-жөні : Бектұрсын Г.</t>
  </si>
  <si>
    <t>Мекен-жайы:  Ақши ауылы</t>
  </si>
  <si>
    <t>«Бүлдіршін» ортаңғы тобы</t>
  </si>
  <si>
    <t>«Айгөлек» ересек тобы</t>
  </si>
  <si>
    <t>«Қарлығаш» мектепалды тобы</t>
  </si>
  <si>
    <t>Дүйсембаева Динара Хасенова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</si>
</sst>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5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14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/>
    <xf numFmtId="0" fontId="19" fillId="0" borderId="0" xfId="0" applyFont="1"/>
    <xf numFmtId="0" fontId="19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/>
    </xf>
    <xf numFmtId="1" fontId="19" fillId="0" borderId="1" xfId="0" applyNumberFormat="1" applyFont="1" applyBorder="1"/>
    <xf numFmtId="1" fontId="19" fillId="0" borderId="1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vertical="top"/>
    </xf>
    <xf numFmtId="0" fontId="19" fillId="0" borderId="0" xfId="0" applyFont="1" applyAlignment="1">
      <alignment horizontal="left"/>
    </xf>
    <xf numFmtId="0" fontId="9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16" fillId="2" borderId="0" xfId="0" applyFont="1" applyFill="1"/>
    <xf numFmtId="0" fontId="16" fillId="2" borderId="1" xfId="0" applyFont="1" applyFill="1" applyBorder="1"/>
    <xf numFmtId="0" fontId="20" fillId="3" borderId="1" xfId="0" applyFont="1" applyFill="1" applyBorder="1" applyAlignment="1">
      <alignment horizontal="center" vertical="top"/>
    </xf>
    <xf numFmtId="1" fontId="18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9" fillId="0" borderId="5" xfId="0" applyFont="1" applyBorder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19" fillId="0" borderId="0" xfId="0" applyFont="1" applyAlignment="1">
      <alignment horizontal="left"/>
    </xf>
    <xf numFmtId="0" fontId="19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9" fillId="0" borderId="5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/>
    </xf>
    <xf numFmtId="1" fontId="12" fillId="0" borderId="4" xfId="0" applyNumberFormat="1" applyFont="1" applyBorder="1" applyAlignment="1">
      <alignment horizontal="center" vertical="top"/>
    </xf>
    <xf numFmtId="1" fontId="12" fillId="0" borderId="3" xfId="0" applyNumberFormat="1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7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13"/>
  <sheetViews>
    <sheetView zoomScale="80" zoomScaleNormal="80" workbookViewId="0">
      <selection activeCell="T19" sqref="T19"/>
    </sheetView>
  </sheetViews>
  <sheetFormatPr defaultRowHeight="14.4" x14ac:dyDescent="0.3"/>
  <cols>
    <col min="1" max="1" width="5.109375" customWidth="1"/>
    <col min="2" max="2" width="19.6640625" customWidth="1"/>
    <col min="3" max="3" width="8.6640625" customWidth="1"/>
    <col min="4" max="36" width="7.6640625" style="32" customWidth="1"/>
  </cols>
  <sheetData>
    <row r="2" spans="1:36" s="28" customFormat="1" ht="15.6" x14ac:dyDescent="0.3">
      <c r="B2" s="12" t="s">
        <v>26</v>
      </c>
      <c r="D2" s="33"/>
      <c r="E2" s="57"/>
      <c r="F2" s="57"/>
      <c r="G2" s="33"/>
      <c r="H2" s="12" t="s">
        <v>31</v>
      </c>
      <c r="I2" s="35"/>
      <c r="J2" s="35"/>
      <c r="K2" s="35"/>
      <c r="L2" s="35"/>
      <c r="M2" s="36"/>
      <c r="N2" s="3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s="28" customFormat="1" ht="15.6" x14ac:dyDescent="0.3">
      <c r="A3" s="1"/>
      <c r="B3" s="1"/>
      <c r="C3" s="67" t="s">
        <v>32</v>
      </c>
      <c r="D3" s="67"/>
      <c r="E3" s="67"/>
      <c r="F3" s="67"/>
      <c r="G3" s="67"/>
      <c r="H3" s="86" t="s">
        <v>33</v>
      </c>
      <c r="I3" s="86"/>
      <c r="J3" s="86"/>
      <c r="K3" s="86"/>
      <c r="L3" s="86"/>
      <c r="M3" s="86"/>
      <c r="N3" s="36"/>
      <c r="O3" s="36"/>
      <c r="P3" s="36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1:36" s="28" customFormat="1" ht="15.6" x14ac:dyDescent="0.3">
      <c r="D4" s="36"/>
      <c r="E4" s="36"/>
      <c r="F4" s="33"/>
      <c r="G4" s="33"/>
      <c r="H4" s="87" t="s">
        <v>29</v>
      </c>
      <c r="I4" s="87"/>
      <c r="J4" s="87"/>
      <c r="K4" s="87"/>
      <c r="L4" s="87"/>
      <c r="M4" s="87"/>
      <c r="N4" s="36"/>
      <c r="O4" s="36"/>
      <c r="P4" s="36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spans="1:36" s="21" customFormat="1" ht="33.75" customHeight="1" x14ac:dyDescent="0.3">
      <c r="A5" s="73" t="s">
        <v>0</v>
      </c>
      <c r="B5" s="74" t="s">
        <v>2</v>
      </c>
      <c r="C5" s="74" t="s">
        <v>9</v>
      </c>
      <c r="D5" s="70" t="s">
        <v>4</v>
      </c>
      <c r="E5" s="70"/>
      <c r="F5" s="70"/>
      <c r="G5" s="75" t="s">
        <v>7</v>
      </c>
      <c r="H5" s="76"/>
      <c r="I5" s="76"/>
      <c r="J5" s="76"/>
      <c r="K5" s="76"/>
      <c r="L5" s="76"/>
      <c r="M5" s="76"/>
      <c r="N5" s="76"/>
      <c r="O5" s="77"/>
      <c r="P5" s="70" t="s">
        <v>5</v>
      </c>
      <c r="Q5" s="70"/>
      <c r="R5" s="70"/>
      <c r="S5" s="75" t="s">
        <v>8</v>
      </c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7"/>
      <c r="AH5" s="70" t="s">
        <v>6</v>
      </c>
      <c r="AI5" s="70"/>
      <c r="AJ5" s="70"/>
    </row>
    <row r="6" spans="1:36" s="17" customFormat="1" ht="15.75" customHeight="1" x14ac:dyDescent="0.3">
      <c r="A6" s="73"/>
      <c r="B6" s="74"/>
      <c r="C6" s="74"/>
      <c r="D6" s="84" t="s">
        <v>13</v>
      </c>
      <c r="E6" s="84" t="s">
        <v>14</v>
      </c>
      <c r="F6" s="84" t="s">
        <v>15</v>
      </c>
      <c r="G6" s="78" t="s">
        <v>17</v>
      </c>
      <c r="H6" s="79"/>
      <c r="I6" s="79"/>
      <c r="J6" s="80" t="s">
        <v>18</v>
      </c>
      <c r="K6" s="80"/>
      <c r="L6" s="81"/>
      <c r="M6" s="78" t="s">
        <v>21</v>
      </c>
      <c r="N6" s="79"/>
      <c r="O6" s="82"/>
      <c r="P6" s="84" t="s">
        <v>13</v>
      </c>
      <c r="Q6" s="84" t="s">
        <v>14</v>
      </c>
      <c r="R6" s="84" t="s">
        <v>15</v>
      </c>
      <c r="S6" s="83" t="s">
        <v>22</v>
      </c>
      <c r="T6" s="83"/>
      <c r="U6" s="83"/>
      <c r="V6" s="83" t="s">
        <v>19</v>
      </c>
      <c r="W6" s="83"/>
      <c r="X6" s="83"/>
      <c r="Y6" s="83" t="s">
        <v>23</v>
      </c>
      <c r="Z6" s="83"/>
      <c r="AA6" s="83"/>
      <c r="AB6" s="83" t="s">
        <v>24</v>
      </c>
      <c r="AC6" s="83"/>
      <c r="AD6" s="83"/>
      <c r="AE6" s="79" t="s">
        <v>20</v>
      </c>
      <c r="AF6" s="79"/>
      <c r="AG6" s="82"/>
      <c r="AH6" s="84" t="s">
        <v>13</v>
      </c>
      <c r="AI6" s="84" t="s">
        <v>14</v>
      </c>
      <c r="AJ6" s="84" t="s">
        <v>15</v>
      </c>
    </row>
    <row r="7" spans="1:36" s="22" customFormat="1" ht="57" customHeight="1" x14ac:dyDescent="0.3">
      <c r="A7" s="73"/>
      <c r="B7" s="74"/>
      <c r="C7" s="74"/>
      <c r="D7" s="85"/>
      <c r="E7" s="85"/>
      <c r="F7" s="85"/>
      <c r="G7" s="49" t="s">
        <v>13</v>
      </c>
      <c r="H7" s="49" t="s">
        <v>14</v>
      </c>
      <c r="I7" s="49" t="s">
        <v>15</v>
      </c>
      <c r="J7" s="49" t="s">
        <v>13</v>
      </c>
      <c r="K7" s="49" t="s">
        <v>14</v>
      </c>
      <c r="L7" s="49" t="s">
        <v>15</v>
      </c>
      <c r="M7" s="49" t="s">
        <v>13</v>
      </c>
      <c r="N7" s="49" t="s">
        <v>14</v>
      </c>
      <c r="O7" s="49" t="s">
        <v>15</v>
      </c>
      <c r="P7" s="85"/>
      <c r="Q7" s="85"/>
      <c r="R7" s="85"/>
      <c r="S7" s="49" t="s">
        <v>13</v>
      </c>
      <c r="T7" s="49" t="s">
        <v>14</v>
      </c>
      <c r="U7" s="49" t="s">
        <v>15</v>
      </c>
      <c r="V7" s="49" t="s">
        <v>13</v>
      </c>
      <c r="W7" s="49" t="s">
        <v>14</v>
      </c>
      <c r="X7" s="49" t="s">
        <v>15</v>
      </c>
      <c r="Y7" s="49" t="s">
        <v>13</v>
      </c>
      <c r="Z7" s="49" t="s">
        <v>14</v>
      </c>
      <c r="AA7" s="49" t="s">
        <v>15</v>
      </c>
      <c r="AB7" s="49" t="s">
        <v>13</v>
      </c>
      <c r="AC7" s="49" t="s">
        <v>14</v>
      </c>
      <c r="AD7" s="49" t="s">
        <v>15</v>
      </c>
      <c r="AE7" s="49" t="s">
        <v>13</v>
      </c>
      <c r="AF7" s="49" t="s">
        <v>14</v>
      </c>
      <c r="AG7" s="49" t="s">
        <v>15</v>
      </c>
      <c r="AH7" s="85"/>
      <c r="AI7" s="85"/>
      <c r="AJ7" s="85"/>
    </row>
    <row r="8" spans="1:36" s="14" customFormat="1" ht="31.2" x14ac:dyDescent="0.3">
      <c r="A8" s="13">
        <v>1</v>
      </c>
      <c r="B8" s="58" t="s">
        <v>34</v>
      </c>
      <c r="C8" s="16">
        <v>25</v>
      </c>
      <c r="D8" s="50">
        <v>9</v>
      </c>
      <c r="E8" s="50">
        <v>10</v>
      </c>
      <c r="F8" s="50">
        <v>6</v>
      </c>
      <c r="G8" s="50">
        <v>7</v>
      </c>
      <c r="H8" s="50">
        <v>9</v>
      </c>
      <c r="I8" s="50">
        <v>9</v>
      </c>
      <c r="J8" s="50">
        <v>8</v>
      </c>
      <c r="K8" s="50">
        <v>9</v>
      </c>
      <c r="L8" s="50">
        <v>8</v>
      </c>
      <c r="M8" s="50">
        <v>7</v>
      </c>
      <c r="N8" s="50">
        <v>9</v>
      </c>
      <c r="O8" s="50">
        <v>9</v>
      </c>
      <c r="P8" s="50">
        <v>6</v>
      </c>
      <c r="Q8" s="50">
        <v>10</v>
      </c>
      <c r="R8" s="50">
        <v>9</v>
      </c>
      <c r="S8" s="50">
        <v>6</v>
      </c>
      <c r="T8" s="50">
        <v>11</v>
      </c>
      <c r="U8" s="50">
        <v>8</v>
      </c>
      <c r="V8" s="50">
        <v>9</v>
      </c>
      <c r="W8" s="50">
        <v>8</v>
      </c>
      <c r="X8" s="50">
        <v>8</v>
      </c>
      <c r="Y8" s="50">
        <v>9</v>
      </c>
      <c r="Z8" s="50">
        <v>7</v>
      </c>
      <c r="AA8" s="50">
        <v>7</v>
      </c>
      <c r="AB8" s="50">
        <v>7</v>
      </c>
      <c r="AC8" s="50">
        <v>8</v>
      </c>
      <c r="AD8" s="50">
        <v>10</v>
      </c>
      <c r="AE8" s="50">
        <v>8</v>
      </c>
      <c r="AF8" s="50">
        <v>8</v>
      </c>
      <c r="AG8" s="50">
        <v>9</v>
      </c>
      <c r="AH8" s="50">
        <v>9</v>
      </c>
      <c r="AI8" s="50">
        <v>9</v>
      </c>
      <c r="AJ8" s="50">
        <v>7</v>
      </c>
    </row>
    <row r="9" spans="1:36" ht="18" x14ac:dyDescent="0.3">
      <c r="A9" s="71" t="s">
        <v>1</v>
      </c>
      <c r="B9" s="72"/>
      <c r="C9" s="24">
        <f t="shared" ref="C9:AJ9" si="0">SUM(C8:C8)</f>
        <v>25</v>
      </c>
      <c r="D9" s="51">
        <f t="shared" si="0"/>
        <v>9</v>
      </c>
      <c r="E9" s="51">
        <f t="shared" si="0"/>
        <v>10</v>
      </c>
      <c r="F9" s="51">
        <f t="shared" si="0"/>
        <v>6</v>
      </c>
      <c r="G9" s="51">
        <f t="shared" si="0"/>
        <v>7</v>
      </c>
      <c r="H9" s="51">
        <f t="shared" si="0"/>
        <v>9</v>
      </c>
      <c r="I9" s="51">
        <f t="shared" si="0"/>
        <v>9</v>
      </c>
      <c r="J9" s="51">
        <f t="shared" si="0"/>
        <v>8</v>
      </c>
      <c r="K9" s="51">
        <f t="shared" si="0"/>
        <v>9</v>
      </c>
      <c r="L9" s="51">
        <f t="shared" si="0"/>
        <v>8</v>
      </c>
      <c r="M9" s="51">
        <f t="shared" si="0"/>
        <v>7</v>
      </c>
      <c r="N9" s="51">
        <f t="shared" si="0"/>
        <v>9</v>
      </c>
      <c r="O9" s="51">
        <f t="shared" si="0"/>
        <v>9</v>
      </c>
      <c r="P9" s="51">
        <f t="shared" si="0"/>
        <v>6</v>
      </c>
      <c r="Q9" s="51">
        <f t="shared" si="0"/>
        <v>10</v>
      </c>
      <c r="R9" s="51">
        <f t="shared" si="0"/>
        <v>9</v>
      </c>
      <c r="S9" s="51">
        <f t="shared" si="0"/>
        <v>6</v>
      </c>
      <c r="T9" s="51">
        <f t="shared" si="0"/>
        <v>11</v>
      </c>
      <c r="U9" s="51">
        <f t="shared" si="0"/>
        <v>8</v>
      </c>
      <c r="V9" s="51">
        <f t="shared" si="0"/>
        <v>9</v>
      </c>
      <c r="W9" s="51">
        <f t="shared" si="0"/>
        <v>8</v>
      </c>
      <c r="X9" s="51">
        <f t="shared" si="0"/>
        <v>8</v>
      </c>
      <c r="Y9" s="51">
        <f t="shared" si="0"/>
        <v>9</v>
      </c>
      <c r="Z9" s="51">
        <f t="shared" si="0"/>
        <v>7</v>
      </c>
      <c r="AA9" s="51">
        <f t="shared" si="0"/>
        <v>7</v>
      </c>
      <c r="AB9" s="51">
        <f t="shared" si="0"/>
        <v>7</v>
      </c>
      <c r="AC9" s="51">
        <f t="shared" si="0"/>
        <v>8</v>
      </c>
      <c r="AD9" s="51">
        <f t="shared" si="0"/>
        <v>10</v>
      </c>
      <c r="AE9" s="51">
        <f t="shared" si="0"/>
        <v>8</v>
      </c>
      <c r="AF9" s="51">
        <f t="shared" si="0"/>
        <v>8</v>
      </c>
      <c r="AG9" s="51">
        <f t="shared" si="0"/>
        <v>9</v>
      </c>
      <c r="AH9" s="51">
        <f t="shared" si="0"/>
        <v>9</v>
      </c>
      <c r="AI9" s="51">
        <f t="shared" si="0"/>
        <v>9</v>
      </c>
      <c r="AJ9" s="51">
        <f t="shared" si="0"/>
        <v>7</v>
      </c>
    </row>
    <row r="10" spans="1:36" ht="18.75" customHeight="1" x14ac:dyDescent="0.3">
      <c r="A10" s="68" t="s">
        <v>10</v>
      </c>
      <c r="B10" s="69"/>
      <c r="C10" s="26">
        <f>C9*100/C9</f>
        <v>100</v>
      </c>
      <c r="D10" s="52">
        <f>D9*100/C9</f>
        <v>36</v>
      </c>
      <c r="E10" s="52">
        <f>E9*100/C9</f>
        <v>40</v>
      </c>
      <c r="F10" s="52">
        <f>F9*100/C9</f>
        <v>24</v>
      </c>
      <c r="G10" s="52">
        <f>G9*100/C9</f>
        <v>28</v>
      </c>
      <c r="H10" s="52">
        <f>H9*100/C9</f>
        <v>36</v>
      </c>
      <c r="I10" s="52">
        <f>I9*100/C9</f>
        <v>36</v>
      </c>
      <c r="J10" s="52">
        <f>J9*100/C9</f>
        <v>32</v>
      </c>
      <c r="K10" s="52">
        <f>K9*100/C9</f>
        <v>36</v>
      </c>
      <c r="L10" s="52">
        <f>L9*100/C9</f>
        <v>32</v>
      </c>
      <c r="M10" s="52">
        <f>M9*100/C9</f>
        <v>28</v>
      </c>
      <c r="N10" s="52">
        <f>N9*100/C9</f>
        <v>36</v>
      </c>
      <c r="O10" s="52">
        <f>O9*100/C9</f>
        <v>36</v>
      </c>
      <c r="P10" s="52">
        <f>P9*100/C9</f>
        <v>24</v>
      </c>
      <c r="Q10" s="52">
        <f>Q9*100/C9</f>
        <v>40</v>
      </c>
      <c r="R10" s="52">
        <f>R9*100/C9</f>
        <v>36</v>
      </c>
      <c r="S10" s="52">
        <f>S9*100/C9</f>
        <v>24</v>
      </c>
      <c r="T10" s="52">
        <f>T9*100/C9</f>
        <v>44</v>
      </c>
      <c r="U10" s="52">
        <f>U9*100/C9</f>
        <v>32</v>
      </c>
      <c r="V10" s="52">
        <f>V9*100/C9</f>
        <v>36</v>
      </c>
      <c r="W10" s="52">
        <f>W9*100/C9</f>
        <v>32</v>
      </c>
      <c r="X10" s="52">
        <f>X9*100/C9</f>
        <v>32</v>
      </c>
      <c r="Y10" s="52">
        <f>Y9*100/C9</f>
        <v>36</v>
      </c>
      <c r="Z10" s="52">
        <f>Z9*100/C9</f>
        <v>28</v>
      </c>
      <c r="AA10" s="52">
        <f>AA9*100/C9</f>
        <v>28</v>
      </c>
      <c r="AB10" s="52">
        <f>AB9*100/C9</f>
        <v>28</v>
      </c>
      <c r="AC10" s="52">
        <f>AC9*100/C9</f>
        <v>32</v>
      </c>
      <c r="AD10" s="52">
        <f>AD9*100/C9</f>
        <v>40</v>
      </c>
      <c r="AE10" s="52">
        <f>AE9*100/C9</f>
        <v>32</v>
      </c>
      <c r="AF10" s="52">
        <f>AF9*100/C9</f>
        <v>32</v>
      </c>
      <c r="AG10" s="52">
        <f>AG9*100/C9</f>
        <v>36</v>
      </c>
      <c r="AH10" s="52">
        <f>AH9*100/C9</f>
        <v>36</v>
      </c>
      <c r="AI10" s="52">
        <f>AI9*100/C9</f>
        <v>36</v>
      </c>
      <c r="AJ10" s="52">
        <f>AJ9*100/C9</f>
        <v>28</v>
      </c>
    </row>
    <row r="13" spans="1:36" x14ac:dyDescent="0.3">
      <c r="G13" s="60">
        <v>5</v>
      </c>
      <c r="H13" s="60">
        <v>10</v>
      </c>
      <c r="I13" s="60">
        <v>10</v>
      </c>
      <c r="V13" s="60">
        <v>6</v>
      </c>
      <c r="W13" s="60">
        <v>9</v>
      </c>
      <c r="X13" s="60">
        <v>10</v>
      </c>
    </row>
  </sheetData>
  <mergeCells count="30">
    <mergeCell ref="H3:M3"/>
    <mergeCell ref="H4:M4"/>
    <mergeCell ref="AJ6:AJ7"/>
    <mergeCell ref="M6:O6"/>
    <mergeCell ref="V6:X6"/>
    <mergeCell ref="S6:U6"/>
    <mergeCell ref="S5:AG5"/>
    <mergeCell ref="R6:R7"/>
    <mergeCell ref="Y6:AA6"/>
    <mergeCell ref="D6:D7"/>
    <mergeCell ref="E6:E7"/>
    <mergeCell ref="F6:F7"/>
    <mergeCell ref="P6:P7"/>
    <mergeCell ref="Q6:Q7"/>
    <mergeCell ref="C3:G3"/>
    <mergeCell ref="A10:B10"/>
    <mergeCell ref="AH5:AJ5"/>
    <mergeCell ref="A9:B9"/>
    <mergeCell ref="A5:A7"/>
    <mergeCell ref="B5:B7"/>
    <mergeCell ref="C5:C7"/>
    <mergeCell ref="D5:F5"/>
    <mergeCell ref="P5:R5"/>
    <mergeCell ref="G5:O5"/>
    <mergeCell ref="G6:I6"/>
    <mergeCell ref="J6:L6"/>
    <mergeCell ref="AE6:AG6"/>
    <mergeCell ref="AB6:AD6"/>
    <mergeCell ref="AH6:AH7"/>
    <mergeCell ref="AI6:A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12"/>
  <sheetViews>
    <sheetView topLeftCell="F2" zoomScale="80" zoomScaleNormal="80" workbookViewId="0">
      <selection activeCell="G12" sqref="G12:I12"/>
    </sheetView>
  </sheetViews>
  <sheetFormatPr defaultRowHeight="14.4" x14ac:dyDescent="0.3"/>
  <cols>
    <col min="1" max="1" width="4.33203125" customWidth="1"/>
    <col min="2" max="2" width="22" customWidth="1"/>
    <col min="3" max="3" width="9.88671875" customWidth="1"/>
    <col min="4" max="6" width="8.88671875" customWidth="1"/>
    <col min="7" max="25" width="8.88671875" style="32" customWidth="1"/>
    <col min="26" max="36" width="8.88671875" customWidth="1"/>
  </cols>
  <sheetData>
    <row r="2" spans="1:36" s="28" customFormat="1" ht="15.6" x14ac:dyDescent="0.3">
      <c r="B2" s="12" t="s">
        <v>26</v>
      </c>
      <c r="C2" s="29"/>
      <c r="D2" s="29"/>
      <c r="E2" s="30"/>
      <c r="F2" s="30"/>
      <c r="G2" s="12" t="s">
        <v>31</v>
      </c>
      <c r="H2" s="35"/>
      <c r="I2" s="35"/>
      <c r="J2" s="35"/>
      <c r="K2" s="35"/>
      <c r="L2" s="36"/>
      <c r="M2" s="36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0"/>
      <c r="AA2" s="30"/>
      <c r="AB2" s="30"/>
      <c r="AC2" s="30"/>
      <c r="AD2" s="30"/>
      <c r="AE2" s="30"/>
      <c r="AF2" s="30"/>
    </row>
    <row r="3" spans="1:36" s="28" customFormat="1" ht="15.6" x14ac:dyDescent="0.3">
      <c r="A3" s="1"/>
      <c r="B3" s="67" t="s">
        <v>32</v>
      </c>
      <c r="C3" s="67"/>
      <c r="D3" s="67"/>
      <c r="E3" s="67"/>
      <c r="F3" s="29"/>
      <c r="G3" s="86" t="s">
        <v>33</v>
      </c>
      <c r="H3" s="86"/>
      <c r="I3" s="86"/>
      <c r="J3" s="86"/>
      <c r="K3" s="86"/>
      <c r="L3" s="86"/>
      <c r="M3" s="36"/>
      <c r="N3" s="36"/>
      <c r="O3" s="36"/>
      <c r="P3" s="33"/>
      <c r="Q3" s="33"/>
      <c r="R3" s="33"/>
      <c r="S3" s="33"/>
      <c r="T3" s="33"/>
      <c r="U3" s="33"/>
      <c r="V3" s="33"/>
      <c r="W3" s="33"/>
      <c r="X3" s="33"/>
      <c r="Y3" s="33"/>
      <c r="Z3" s="30"/>
      <c r="AA3" s="30"/>
      <c r="AB3" s="30"/>
      <c r="AC3" s="30"/>
      <c r="AD3" s="30"/>
      <c r="AE3" s="30"/>
      <c r="AF3" s="30"/>
    </row>
    <row r="4" spans="1:36" s="28" customFormat="1" ht="15.6" x14ac:dyDescent="0.3">
      <c r="C4" s="31"/>
      <c r="D4" s="31"/>
      <c r="E4" s="30"/>
      <c r="F4" s="30"/>
      <c r="G4" s="87" t="s">
        <v>29</v>
      </c>
      <c r="H4" s="87"/>
      <c r="I4" s="87"/>
      <c r="J4" s="87"/>
      <c r="K4" s="87"/>
      <c r="L4" s="87"/>
      <c r="M4" s="36"/>
      <c r="N4" s="36"/>
      <c r="O4" s="36"/>
      <c r="P4" s="33"/>
      <c r="Q4" s="33"/>
      <c r="R4" s="33"/>
      <c r="S4" s="33"/>
      <c r="T4" s="33"/>
      <c r="U4" s="33"/>
      <c r="V4" s="33"/>
      <c r="W4" s="33"/>
      <c r="X4" s="33"/>
      <c r="Y4" s="33"/>
      <c r="Z4" s="30"/>
      <c r="AA4" s="30"/>
      <c r="AB4" s="30"/>
      <c r="AC4" s="30"/>
      <c r="AD4" s="30"/>
      <c r="AE4" s="30"/>
      <c r="AF4" s="30"/>
    </row>
    <row r="5" spans="1:36" s="21" customFormat="1" ht="33.75" customHeight="1" x14ac:dyDescent="0.3">
      <c r="A5" s="101" t="s">
        <v>0</v>
      </c>
      <c r="B5" s="102" t="s">
        <v>2</v>
      </c>
      <c r="C5" s="102" t="s">
        <v>9</v>
      </c>
      <c r="D5" s="88" t="s">
        <v>4</v>
      </c>
      <c r="E5" s="88"/>
      <c r="F5" s="88"/>
      <c r="G5" s="75" t="s">
        <v>7</v>
      </c>
      <c r="H5" s="76"/>
      <c r="I5" s="76"/>
      <c r="J5" s="76"/>
      <c r="K5" s="76"/>
      <c r="L5" s="76"/>
      <c r="M5" s="76"/>
      <c r="N5" s="76"/>
      <c r="O5" s="77"/>
      <c r="P5" s="70" t="s">
        <v>5</v>
      </c>
      <c r="Q5" s="70"/>
      <c r="R5" s="70"/>
      <c r="S5" s="95" t="s">
        <v>8</v>
      </c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7"/>
      <c r="AH5" s="88" t="s">
        <v>6</v>
      </c>
      <c r="AI5" s="88"/>
      <c r="AJ5" s="88"/>
    </row>
    <row r="6" spans="1:36" s="21" customFormat="1" ht="15.75" customHeight="1" x14ac:dyDescent="0.3">
      <c r="A6" s="101"/>
      <c r="B6" s="102"/>
      <c r="C6" s="102"/>
      <c r="D6" s="89" t="s">
        <v>13</v>
      </c>
      <c r="E6" s="89" t="s">
        <v>14</v>
      </c>
      <c r="F6" s="89" t="s">
        <v>15</v>
      </c>
      <c r="G6" s="94" t="s">
        <v>17</v>
      </c>
      <c r="H6" s="94"/>
      <c r="I6" s="94"/>
      <c r="J6" s="70" t="s">
        <v>18</v>
      </c>
      <c r="K6" s="70"/>
      <c r="L6" s="70"/>
      <c r="M6" s="94" t="s">
        <v>21</v>
      </c>
      <c r="N6" s="94"/>
      <c r="O6" s="94"/>
      <c r="P6" s="92" t="s">
        <v>13</v>
      </c>
      <c r="Q6" s="92" t="s">
        <v>14</v>
      </c>
      <c r="R6" s="92" t="s">
        <v>15</v>
      </c>
      <c r="S6" s="94" t="s">
        <v>22</v>
      </c>
      <c r="T6" s="94"/>
      <c r="U6" s="94"/>
      <c r="V6" s="94" t="s">
        <v>19</v>
      </c>
      <c r="W6" s="94"/>
      <c r="X6" s="94"/>
      <c r="Y6" s="91" t="s">
        <v>23</v>
      </c>
      <c r="Z6" s="91"/>
      <c r="AA6" s="91"/>
      <c r="AB6" s="91" t="s">
        <v>24</v>
      </c>
      <c r="AC6" s="91"/>
      <c r="AD6" s="91"/>
      <c r="AE6" s="99" t="s">
        <v>20</v>
      </c>
      <c r="AF6" s="99"/>
      <c r="AG6" s="100"/>
      <c r="AH6" s="89" t="s">
        <v>13</v>
      </c>
      <c r="AI6" s="89" t="s">
        <v>14</v>
      </c>
      <c r="AJ6" s="89" t="s">
        <v>15</v>
      </c>
    </row>
    <row r="7" spans="1:36" s="14" customFormat="1" ht="68.25" customHeight="1" x14ac:dyDescent="0.3">
      <c r="A7" s="101"/>
      <c r="B7" s="102"/>
      <c r="C7" s="102"/>
      <c r="D7" s="90"/>
      <c r="E7" s="90"/>
      <c r="F7" s="90"/>
      <c r="G7" s="53" t="s">
        <v>13</v>
      </c>
      <c r="H7" s="53" t="s">
        <v>14</v>
      </c>
      <c r="I7" s="53" t="s">
        <v>15</v>
      </c>
      <c r="J7" s="53" t="s">
        <v>13</v>
      </c>
      <c r="K7" s="53" t="s">
        <v>14</v>
      </c>
      <c r="L7" s="53" t="s">
        <v>15</v>
      </c>
      <c r="M7" s="53" t="s">
        <v>13</v>
      </c>
      <c r="N7" s="53" t="s">
        <v>14</v>
      </c>
      <c r="O7" s="53" t="s">
        <v>15</v>
      </c>
      <c r="P7" s="93"/>
      <c r="Q7" s="93"/>
      <c r="R7" s="93"/>
      <c r="S7" s="53" t="s">
        <v>13</v>
      </c>
      <c r="T7" s="53" t="s">
        <v>14</v>
      </c>
      <c r="U7" s="53" t="s">
        <v>15</v>
      </c>
      <c r="V7" s="53" t="s">
        <v>13</v>
      </c>
      <c r="W7" s="53" t="s">
        <v>14</v>
      </c>
      <c r="X7" s="53" t="s">
        <v>15</v>
      </c>
      <c r="Y7" s="53" t="s">
        <v>13</v>
      </c>
      <c r="Z7" s="15" t="s">
        <v>14</v>
      </c>
      <c r="AA7" s="15" t="s">
        <v>15</v>
      </c>
      <c r="AB7" s="15" t="s">
        <v>13</v>
      </c>
      <c r="AC7" s="15" t="s">
        <v>14</v>
      </c>
      <c r="AD7" s="15" t="s">
        <v>15</v>
      </c>
      <c r="AE7" s="15" t="s">
        <v>13</v>
      </c>
      <c r="AF7" s="15" t="s">
        <v>14</v>
      </c>
      <c r="AG7" s="15" t="s">
        <v>15</v>
      </c>
      <c r="AH7" s="90"/>
      <c r="AI7" s="90"/>
      <c r="AJ7" s="90"/>
    </row>
    <row r="8" spans="1:36" s="11" customFormat="1" ht="55.5" customHeight="1" x14ac:dyDescent="0.3">
      <c r="A8" s="9">
        <v>1</v>
      </c>
      <c r="B8" s="10" t="s">
        <v>30</v>
      </c>
      <c r="C8" s="23">
        <v>25</v>
      </c>
      <c r="D8" s="23">
        <v>8</v>
      </c>
      <c r="E8" s="23">
        <v>9</v>
      </c>
      <c r="F8" s="23">
        <v>8</v>
      </c>
      <c r="G8" s="54">
        <v>7</v>
      </c>
      <c r="H8" s="54">
        <v>10</v>
      </c>
      <c r="I8" s="54">
        <v>8</v>
      </c>
      <c r="J8" s="54">
        <v>7</v>
      </c>
      <c r="K8" s="54">
        <v>10</v>
      </c>
      <c r="L8" s="54">
        <v>8</v>
      </c>
      <c r="M8" s="54">
        <v>8</v>
      </c>
      <c r="N8" s="54">
        <v>10</v>
      </c>
      <c r="O8" s="54">
        <v>7</v>
      </c>
      <c r="P8" s="54">
        <v>6</v>
      </c>
      <c r="Q8" s="54">
        <v>10</v>
      </c>
      <c r="R8" s="54">
        <v>9</v>
      </c>
      <c r="S8" s="54">
        <v>10</v>
      </c>
      <c r="T8" s="54">
        <v>8</v>
      </c>
      <c r="U8" s="54">
        <v>7</v>
      </c>
      <c r="V8" s="54">
        <v>10</v>
      </c>
      <c r="W8" s="54">
        <v>9</v>
      </c>
      <c r="X8" s="54">
        <v>6</v>
      </c>
      <c r="Y8" s="54">
        <v>10</v>
      </c>
      <c r="Z8" s="23">
        <v>9</v>
      </c>
      <c r="AA8" s="23">
        <v>6</v>
      </c>
      <c r="AB8" s="23">
        <v>9</v>
      </c>
      <c r="AC8" s="23">
        <v>8</v>
      </c>
      <c r="AD8" s="23">
        <v>8</v>
      </c>
      <c r="AE8" s="23">
        <v>9</v>
      </c>
      <c r="AF8" s="23">
        <v>8</v>
      </c>
      <c r="AG8" s="23">
        <v>8</v>
      </c>
      <c r="AH8" s="23">
        <v>8</v>
      </c>
      <c r="AI8" s="23">
        <v>8</v>
      </c>
      <c r="AJ8" s="23">
        <v>9</v>
      </c>
    </row>
    <row r="9" spans="1:36" ht="18" x14ac:dyDescent="0.3">
      <c r="A9" s="71" t="s">
        <v>1</v>
      </c>
      <c r="B9" s="72"/>
      <c r="C9" s="24">
        <f t="shared" ref="C9:X9" si="0">SUM(C8:C8)</f>
        <v>25</v>
      </c>
      <c r="D9" s="25">
        <f t="shared" si="0"/>
        <v>8</v>
      </c>
      <c r="E9" s="25">
        <f t="shared" si="0"/>
        <v>9</v>
      </c>
      <c r="F9" s="25">
        <f t="shared" si="0"/>
        <v>8</v>
      </c>
      <c r="G9" s="51">
        <f t="shared" si="0"/>
        <v>7</v>
      </c>
      <c r="H9" s="51">
        <f t="shared" si="0"/>
        <v>10</v>
      </c>
      <c r="I9" s="51">
        <f t="shared" si="0"/>
        <v>8</v>
      </c>
      <c r="J9" s="51">
        <f t="shared" si="0"/>
        <v>7</v>
      </c>
      <c r="K9" s="51">
        <f t="shared" si="0"/>
        <v>10</v>
      </c>
      <c r="L9" s="51">
        <f t="shared" si="0"/>
        <v>8</v>
      </c>
      <c r="M9" s="51">
        <f t="shared" si="0"/>
        <v>8</v>
      </c>
      <c r="N9" s="51">
        <f t="shared" si="0"/>
        <v>10</v>
      </c>
      <c r="O9" s="51">
        <f t="shared" si="0"/>
        <v>7</v>
      </c>
      <c r="P9" s="51">
        <f t="shared" si="0"/>
        <v>6</v>
      </c>
      <c r="Q9" s="51">
        <f t="shared" si="0"/>
        <v>10</v>
      </c>
      <c r="R9" s="51">
        <f t="shared" si="0"/>
        <v>9</v>
      </c>
      <c r="S9" s="51">
        <f t="shared" si="0"/>
        <v>10</v>
      </c>
      <c r="T9" s="51">
        <f t="shared" si="0"/>
        <v>8</v>
      </c>
      <c r="U9" s="51">
        <f t="shared" si="0"/>
        <v>7</v>
      </c>
      <c r="V9" s="51">
        <f t="shared" si="0"/>
        <v>10</v>
      </c>
      <c r="W9" s="51">
        <f t="shared" si="0"/>
        <v>9</v>
      </c>
      <c r="X9" s="51">
        <f t="shared" si="0"/>
        <v>6</v>
      </c>
      <c r="Y9" s="51">
        <f t="shared" ref="Y9:AJ9" si="1">SUM(Y8:Y8)</f>
        <v>10</v>
      </c>
      <c r="Z9" s="25">
        <f t="shared" si="1"/>
        <v>9</v>
      </c>
      <c r="AA9" s="25">
        <f t="shared" si="1"/>
        <v>6</v>
      </c>
      <c r="AB9" s="25">
        <f t="shared" si="1"/>
        <v>9</v>
      </c>
      <c r="AC9" s="25">
        <f t="shared" si="1"/>
        <v>8</v>
      </c>
      <c r="AD9" s="25">
        <f t="shared" si="1"/>
        <v>8</v>
      </c>
      <c r="AE9" s="25">
        <f t="shared" si="1"/>
        <v>9</v>
      </c>
      <c r="AF9" s="25">
        <f t="shared" si="1"/>
        <v>8</v>
      </c>
      <c r="AG9" s="25">
        <f t="shared" si="1"/>
        <v>8</v>
      </c>
      <c r="AH9" s="25">
        <f t="shared" si="1"/>
        <v>8</v>
      </c>
      <c r="AI9" s="25">
        <f t="shared" si="1"/>
        <v>8</v>
      </c>
      <c r="AJ9" s="25">
        <f t="shared" si="1"/>
        <v>9</v>
      </c>
    </row>
    <row r="10" spans="1:36" ht="21.75" customHeight="1" x14ac:dyDescent="0.3">
      <c r="A10" s="98" t="s">
        <v>10</v>
      </c>
      <c r="B10" s="98"/>
      <c r="C10" s="26">
        <f>C9*100/C9</f>
        <v>100</v>
      </c>
      <c r="D10" s="27">
        <f>D9*100/C9</f>
        <v>32</v>
      </c>
      <c r="E10" s="27">
        <f>E9*100/C9</f>
        <v>36</v>
      </c>
      <c r="F10" s="27">
        <f>F9*100/C9</f>
        <v>32</v>
      </c>
      <c r="G10" s="52">
        <f>G9*100/C9</f>
        <v>28</v>
      </c>
      <c r="H10" s="52">
        <f>H9*100/C9</f>
        <v>40</v>
      </c>
      <c r="I10" s="52">
        <f>I9*100/C9</f>
        <v>32</v>
      </c>
      <c r="J10" s="52">
        <f>J9*100/C9</f>
        <v>28</v>
      </c>
      <c r="K10" s="52">
        <f>K9*100/C9</f>
        <v>40</v>
      </c>
      <c r="L10" s="52">
        <f>L9*100/C9</f>
        <v>32</v>
      </c>
      <c r="M10" s="52">
        <f>M9*100/C9</f>
        <v>32</v>
      </c>
      <c r="N10" s="52">
        <f>N9*100/C9</f>
        <v>40</v>
      </c>
      <c r="O10" s="52">
        <f>O9*100/C9</f>
        <v>28</v>
      </c>
      <c r="P10" s="52">
        <f>P9*100/C9</f>
        <v>24</v>
      </c>
      <c r="Q10" s="52">
        <f>Q9*100/C9</f>
        <v>40</v>
      </c>
      <c r="R10" s="52">
        <f>R9*100/C9</f>
        <v>36</v>
      </c>
      <c r="S10" s="52">
        <f>S9*100/C9</f>
        <v>40</v>
      </c>
      <c r="T10" s="52">
        <f>T9*100/C9</f>
        <v>32</v>
      </c>
      <c r="U10" s="52">
        <f>U9*100/C9</f>
        <v>28</v>
      </c>
      <c r="V10" s="52">
        <f>V9*100/C9</f>
        <v>40</v>
      </c>
      <c r="W10" s="52">
        <f>W9*100/C9</f>
        <v>36</v>
      </c>
      <c r="X10" s="52">
        <f>X9*100/C9</f>
        <v>24</v>
      </c>
      <c r="Y10" s="52">
        <f>Y9*100/C9</f>
        <v>40</v>
      </c>
      <c r="Z10" s="27">
        <f>Z9*100/C9</f>
        <v>36</v>
      </c>
      <c r="AA10" s="27">
        <f>AA9*100/C9</f>
        <v>24</v>
      </c>
      <c r="AB10" s="27">
        <f>AB9*100/C9</f>
        <v>36</v>
      </c>
      <c r="AC10" s="27">
        <f>AC9*100/C9</f>
        <v>32</v>
      </c>
      <c r="AD10" s="27">
        <f>AD9*100/C9</f>
        <v>32</v>
      </c>
      <c r="AE10" s="27">
        <f>AE9*100/C9</f>
        <v>36</v>
      </c>
      <c r="AF10" s="27">
        <f>AF9*100/C9</f>
        <v>32</v>
      </c>
      <c r="AG10" s="27">
        <f>AG9*100/C9</f>
        <v>32</v>
      </c>
      <c r="AH10" s="27">
        <f>AH9*100/C9</f>
        <v>32</v>
      </c>
      <c r="AI10" s="27">
        <f>AI9*100/C9</f>
        <v>32</v>
      </c>
      <c r="AJ10" s="27">
        <f>AJ9*100/C9</f>
        <v>36</v>
      </c>
    </row>
    <row r="12" spans="1:36" x14ac:dyDescent="0.3">
      <c r="G12" s="61">
        <v>7</v>
      </c>
      <c r="H12" s="61">
        <v>10</v>
      </c>
      <c r="I12" s="61">
        <v>8</v>
      </c>
      <c r="Y12" s="61">
        <v>10</v>
      </c>
      <c r="Z12" s="61">
        <v>8</v>
      </c>
      <c r="AA12" s="61">
        <v>7</v>
      </c>
    </row>
  </sheetData>
  <mergeCells count="30">
    <mergeCell ref="B3:E3"/>
    <mergeCell ref="G3:L3"/>
    <mergeCell ref="G4:L4"/>
    <mergeCell ref="A10:B10"/>
    <mergeCell ref="AH5:AJ5"/>
    <mergeCell ref="A9:B9"/>
    <mergeCell ref="AE6:AG6"/>
    <mergeCell ref="F6:F7"/>
    <mergeCell ref="E6:E7"/>
    <mergeCell ref="D6:D7"/>
    <mergeCell ref="G5:O5"/>
    <mergeCell ref="G6:I6"/>
    <mergeCell ref="J6:L6"/>
    <mergeCell ref="A5:A7"/>
    <mergeCell ref="B5:B7"/>
    <mergeCell ref="C5:C7"/>
    <mergeCell ref="D5:F5"/>
    <mergeCell ref="AH6:AH7"/>
    <mergeCell ref="Y6:AA6"/>
    <mergeCell ref="AI6:AI7"/>
    <mergeCell ref="AJ6:AJ7"/>
    <mergeCell ref="R6:R7"/>
    <mergeCell ref="P5:R5"/>
    <mergeCell ref="M6:O6"/>
    <mergeCell ref="S5:AG5"/>
    <mergeCell ref="P6:P7"/>
    <mergeCell ref="Q6:Q7"/>
    <mergeCell ref="S6:U6"/>
    <mergeCell ref="V6:X6"/>
    <mergeCell ref="AB6:AD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12"/>
  <sheetViews>
    <sheetView topLeftCell="E1" zoomScale="80" zoomScaleNormal="80" workbookViewId="0">
      <selection activeCell="E8" sqref="E8:G8"/>
    </sheetView>
  </sheetViews>
  <sheetFormatPr defaultRowHeight="14.4" x14ac:dyDescent="0.3"/>
  <cols>
    <col min="1" max="1" width="4.33203125" customWidth="1"/>
    <col min="2" max="2" width="26.88671875" customWidth="1"/>
    <col min="3" max="3" width="18.44140625" customWidth="1"/>
    <col min="4" max="4" width="9.88671875" customWidth="1"/>
    <col min="5" max="40" width="10.109375" style="32" customWidth="1"/>
  </cols>
  <sheetData>
    <row r="2" spans="1:40" s="28" customFormat="1" ht="15.6" x14ac:dyDescent="0.3">
      <c r="B2" s="12" t="s">
        <v>26</v>
      </c>
      <c r="D2" s="29"/>
      <c r="E2" s="34"/>
      <c r="F2" s="33"/>
      <c r="G2" s="33"/>
      <c r="H2" s="12" t="s">
        <v>31</v>
      </c>
      <c r="I2" s="35"/>
      <c r="J2" s="35"/>
      <c r="K2" s="35"/>
      <c r="L2" s="35"/>
      <c r="M2" s="36"/>
      <c r="N2" s="3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s="28" customFormat="1" ht="15.6" x14ac:dyDescent="0.3">
      <c r="A3" s="1"/>
      <c r="B3" s="67" t="s">
        <v>32</v>
      </c>
      <c r="C3" s="67"/>
      <c r="D3" s="67"/>
      <c r="E3" s="67"/>
      <c r="F3" s="67"/>
      <c r="G3" s="34"/>
      <c r="H3" s="86" t="s">
        <v>33</v>
      </c>
      <c r="I3" s="86"/>
      <c r="J3" s="86"/>
      <c r="K3" s="86"/>
      <c r="L3" s="86"/>
      <c r="M3" s="86"/>
      <c r="N3" s="36"/>
      <c r="O3" s="36"/>
      <c r="P3" s="36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s="28" customFormat="1" ht="15.6" x14ac:dyDescent="0.3">
      <c r="D4" s="31"/>
      <c r="E4" s="36"/>
      <c r="F4" s="33"/>
      <c r="G4" s="33"/>
      <c r="H4" s="87" t="s">
        <v>29</v>
      </c>
      <c r="I4" s="87"/>
      <c r="J4" s="87"/>
      <c r="K4" s="87"/>
      <c r="L4" s="87"/>
      <c r="M4" s="87"/>
      <c r="N4" s="36"/>
      <c r="O4" s="36"/>
      <c r="P4" s="36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 spans="1:40" s="21" customFormat="1" ht="36.75" customHeight="1" x14ac:dyDescent="0.3">
      <c r="A5" s="101" t="s">
        <v>0</v>
      </c>
      <c r="B5" s="102" t="s">
        <v>2</v>
      </c>
      <c r="C5" s="102" t="s">
        <v>3</v>
      </c>
      <c r="D5" s="102" t="s">
        <v>9</v>
      </c>
      <c r="E5" s="70" t="s">
        <v>4</v>
      </c>
      <c r="F5" s="70"/>
      <c r="G5" s="70"/>
      <c r="H5" s="75" t="s">
        <v>7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  <c r="T5" s="70" t="s">
        <v>5</v>
      </c>
      <c r="U5" s="70"/>
      <c r="V5" s="70"/>
      <c r="W5" s="75" t="s">
        <v>8</v>
      </c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7"/>
      <c r="AL5" s="70" t="s">
        <v>6</v>
      </c>
      <c r="AM5" s="70"/>
      <c r="AN5" s="70"/>
    </row>
    <row r="6" spans="1:40" s="21" customFormat="1" ht="15.75" customHeight="1" x14ac:dyDescent="0.3">
      <c r="A6" s="101"/>
      <c r="B6" s="102"/>
      <c r="C6" s="102"/>
      <c r="D6" s="102"/>
      <c r="E6" s="92" t="s">
        <v>13</v>
      </c>
      <c r="F6" s="92" t="s">
        <v>14</v>
      </c>
      <c r="G6" s="92" t="s">
        <v>15</v>
      </c>
      <c r="H6" s="113" t="s">
        <v>17</v>
      </c>
      <c r="I6" s="114"/>
      <c r="J6" s="115"/>
      <c r="K6" s="110" t="s">
        <v>18</v>
      </c>
      <c r="L6" s="111"/>
      <c r="M6" s="112"/>
      <c r="N6" s="107" t="s">
        <v>25</v>
      </c>
      <c r="O6" s="108"/>
      <c r="P6" s="109"/>
      <c r="Q6" s="106" t="s">
        <v>21</v>
      </c>
      <c r="R6" s="104"/>
      <c r="S6" s="105"/>
      <c r="T6" s="92" t="s">
        <v>13</v>
      </c>
      <c r="U6" s="92" t="s">
        <v>14</v>
      </c>
      <c r="V6" s="92" t="s">
        <v>15</v>
      </c>
      <c r="W6" s="94" t="s">
        <v>22</v>
      </c>
      <c r="X6" s="94"/>
      <c r="Y6" s="94"/>
      <c r="Z6" s="94" t="s">
        <v>19</v>
      </c>
      <c r="AA6" s="94"/>
      <c r="AB6" s="94"/>
      <c r="AC6" s="94" t="s">
        <v>23</v>
      </c>
      <c r="AD6" s="94"/>
      <c r="AE6" s="94"/>
      <c r="AF6" s="94" t="s">
        <v>24</v>
      </c>
      <c r="AG6" s="94"/>
      <c r="AH6" s="94"/>
      <c r="AI6" s="104" t="s">
        <v>20</v>
      </c>
      <c r="AJ6" s="104"/>
      <c r="AK6" s="105"/>
      <c r="AL6" s="92" t="s">
        <v>13</v>
      </c>
      <c r="AM6" s="92" t="s">
        <v>14</v>
      </c>
      <c r="AN6" s="92" t="s">
        <v>15</v>
      </c>
    </row>
    <row r="7" spans="1:40" s="14" customFormat="1" ht="60.75" customHeight="1" x14ac:dyDescent="0.3">
      <c r="A7" s="101"/>
      <c r="B7" s="102"/>
      <c r="C7" s="102"/>
      <c r="D7" s="102"/>
      <c r="E7" s="93"/>
      <c r="F7" s="93"/>
      <c r="G7" s="93"/>
      <c r="H7" s="53" t="s">
        <v>13</v>
      </c>
      <c r="I7" s="53" t="s">
        <v>14</v>
      </c>
      <c r="J7" s="53" t="s">
        <v>15</v>
      </c>
      <c r="K7" s="53" t="s">
        <v>13</v>
      </c>
      <c r="L7" s="53" t="s">
        <v>14</v>
      </c>
      <c r="M7" s="53" t="s">
        <v>15</v>
      </c>
      <c r="N7" s="53" t="s">
        <v>13</v>
      </c>
      <c r="O7" s="53" t="s">
        <v>14</v>
      </c>
      <c r="P7" s="53" t="s">
        <v>15</v>
      </c>
      <c r="Q7" s="53" t="s">
        <v>13</v>
      </c>
      <c r="R7" s="53" t="s">
        <v>14</v>
      </c>
      <c r="S7" s="53" t="s">
        <v>15</v>
      </c>
      <c r="T7" s="93"/>
      <c r="U7" s="93"/>
      <c r="V7" s="93"/>
      <c r="W7" s="53" t="s">
        <v>13</v>
      </c>
      <c r="X7" s="53" t="s">
        <v>14</v>
      </c>
      <c r="Y7" s="53" t="s">
        <v>15</v>
      </c>
      <c r="Z7" s="53" t="s">
        <v>13</v>
      </c>
      <c r="AA7" s="53" t="s">
        <v>14</v>
      </c>
      <c r="AB7" s="53" t="s">
        <v>15</v>
      </c>
      <c r="AC7" s="53" t="s">
        <v>13</v>
      </c>
      <c r="AD7" s="53" t="s">
        <v>14</v>
      </c>
      <c r="AE7" s="53" t="s">
        <v>15</v>
      </c>
      <c r="AF7" s="53" t="s">
        <v>13</v>
      </c>
      <c r="AG7" s="53" t="s">
        <v>14</v>
      </c>
      <c r="AH7" s="53" t="s">
        <v>15</v>
      </c>
      <c r="AI7" s="53" t="s">
        <v>13</v>
      </c>
      <c r="AJ7" s="53" t="s">
        <v>14</v>
      </c>
      <c r="AK7" s="53" t="s">
        <v>15</v>
      </c>
      <c r="AL7" s="93"/>
      <c r="AM7" s="93"/>
      <c r="AN7" s="93"/>
    </row>
    <row r="8" spans="1:40" s="14" customFormat="1" ht="61.5" customHeight="1" x14ac:dyDescent="0.3">
      <c r="A8" s="13">
        <v>1</v>
      </c>
      <c r="B8" s="59" t="s">
        <v>36</v>
      </c>
      <c r="C8" s="15" t="s">
        <v>37</v>
      </c>
      <c r="D8" s="19">
        <v>25</v>
      </c>
      <c r="E8" s="55">
        <v>8</v>
      </c>
      <c r="F8" s="55">
        <v>11</v>
      </c>
      <c r="G8" s="55">
        <v>6</v>
      </c>
      <c r="H8" s="55">
        <v>9</v>
      </c>
      <c r="I8" s="55">
        <v>10</v>
      </c>
      <c r="J8" s="55">
        <v>6</v>
      </c>
      <c r="K8" s="55">
        <v>5</v>
      </c>
      <c r="L8" s="55">
        <v>12</v>
      </c>
      <c r="M8" s="55">
        <v>8</v>
      </c>
      <c r="N8" s="56">
        <v>8</v>
      </c>
      <c r="O8" s="56">
        <v>10</v>
      </c>
      <c r="P8" s="56">
        <v>7</v>
      </c>
      <c r="Q8" s="55">
        <v>8</v>
      </c>
      <c r="R8" s="55">
        <v>11</v>
      </c>
      <c r="S8" s="55">
        <v>6</v>
      </c>
      <c r="T8" s="55">
        <v>8</v>
      </c>
      <c r="U8" s="55">
        <v>10</v>
      </c>
      <c r="V8" s="55">
        <v>7</v>
      </c>
      <c r="W8" s="55">
        <v>8</v>
      </c>
      <c r="X8" s="55">
        <v>10</v>
      </c>
      <c r="Y8" s="55">
        <v>7</v>
      </c>
      <c r="Z8" s="55">
        <v>8</v>
      </c>
      <c r="AA8" s="55">
        <v>11</v>
      </c>
      <c r="AB8" s="55">
        <v>6</v>
      </c>
      <c r="AC8" s="55">
        <v>8</v>
      </c>
      <c r="AD8" s="55">
        <v>10</v>
      </c>
      <c r="AE8" s="55">
        <v>7</v>
      </c>
      <c r="AF8" s="55">
        <v>8</v>
      </c>
      <c r="AG8" s="55">
        <v>10</v>
      </c>
      <c r="AH8" s="55">
        <v>7</v>
      </c>
      <c r="AI8" s="55">
        <v>9</v>
      </c>
      <c r="AJ8" s="55">
        <v>10</v>
      </c>
      <c r="AK8" s="55">
        <v>6</v>
      </c>
      <c r="AL8" s="55">
        <v>8</v>
      </c>
      <c r="AM8" s="55">
        <v>10</v>
      </c>
      <c r="AN8" s="55">
        <v>7</v>
      </c>
    </row>
    <row r="9" spans="1:40" ht="15.6" x14ac:dyDescent="0.3">
      <c r="A9" s="71" t="s">
        <v>1</v>
      </c>
      <c r="B9" s="72"/>
      <c r="C9" s="103"/>
      <c r="D9" s="7">
        <f t="shared" ref="D9:AN9" si="0">SUM(D8:D8)</f>
        <v>25</v>
      </c>
      <c r="E9" s="47">
        <f t="shared" si="0"/>
        <v>8</v>
      </c>
      <c r="F9" s="47">
        <f t="shared" si="0"/>
        <v>11</v>
      </c>
      <c r="G9" s="47">
        <f t="shared" si="0"/>
        <v>6</v>
      </c>
      <c r="H9" s="47">
        <f t="shared" si="0"/>
        <v>9</v>
      </c>
      <c r="I9" s="47">
        <f t="shared" si="0"/>
        <v>10</v>
      </c>
      <c r="J9" s="47">
        <f t="shared" si="0"/>
        <v>6</v>
      </c>
      <c r="K9" s="47">
        <f t="shared" si="0"/>
        <v>5</v>
      </c>
      <c r="L9" s="47">
        <f t="shared" si="0"/>
        <v>12</v>
      </c>
      <c r="M9" s="47">
        <f t="shared" si="0"/>
        <v>8</v>
      </c>
      <c r="N9" s="47">
        <f t="shared" si="0"/>
        <v>8</v>
      </c>
      <c r="O9" s="47">
        <f t="shared" si="0"/>
        <v>10</v>
      </c>
      <c r="P9" s="47">
        <f t="shared" si="0"/>
        <v>7</v>
      </c>
      <c r="Q9" s="47">
        <f t="shared" si="0"/>
        <v>8</v>
      </c>
      <c r="R9" s="47">
        <f t="shared" si="0"/>
        <v>11</v>
      </c>
      <c r="S9" s="47">
        <f t="shared" si="0"/>
        <v>6</v>
      </c>
      <c r="T9" s="47">
        <f t="shared" si="0"/>
        <v>8</v>
      </c>
      <c r="U9" s="47">
        <f t="shared" si="0"/>
        <v>10</v>
      </c>
      <c r="V9" s="47">
        <f t="shared" si="0"/>
        <v>7</v>
      </c>
      <c r="W9" s="47">
        <f t="shared" si="0"/>
        <v>8</v>
      </c>
      <c r="X9" s="47">
        <f t="shared" si="0"/>
        <v>10</v>
      </c>
      <c r="Y9" s="47">
        <f t="shared" si="0"/>
        <v>7</v>
      </c>
      <c r="Z9" s="47">
        <f t="shared" si="0"/>
        <v>8</v>
      </c>
      <c r="AA9" s="47">
        <f t="shared" si="0"/>
        <v>11</v>
      </c>
      <c r="AB9" s="47">
        <f t="shared" si="0"/>
        <v>6</v>
      </c>
      <c r="AC9" s="47">
        <f t="shared" si="0"/>
        <v>8</v>
      </c>
      <c r="AD9" s="47">
        <f t="shared" si="0"/>
        <v>10</v>
      </c>
      <c r="AE9" s="47">
        <f t="shared" si="0"/>
        <v>7</v>
      </c>
      <c r="AF9" s="47">
        <f t="shared" si="0"/>
        <v>8</v>
      </c>
      <c r="AG9" s="47">
        <f t="shared" si="0"/>
        <v>10</v>
      </c>
      <c r="AH9" s="47">
        <f t="shared" si="0"/>
        <v>7</v>
      </c>
      <c r="AI9" s="47">
        <f t="shared" si="0"/>
        <v>9</v>
      </c>
      <c r="AJ9" s="47">
        <f t="shared" si="0"/>
        <v>10</v>
      </c>
      <c r="AK9" s="47">
        <f t="shared" si="0"/>
        <v>6</v>
      </c>
      <c r="AL9" s="47">
        <f t="shared" si="0"/>
        <v>8</v>
      </c>
      <c r="AM9" s="47">
        <f t="shared" si="0"/>
        <v>10</v>
      </c>
      <c r="AN9" s="47">
        <f t="shared" si="0"/>
        <v>7</v>
      </c>
    </row>
    <row r="10" spans="1:40" ht="18.75" customHeight="1" x14ac:dyDescent="0.3">
      <c r="A10" s="98" t="s">
        <v>10</v>
      </c>
      <c r="B10" s="98"/>
      <c r="C10" s="98"/>
      <c r="D10" s="4">
        <f>D9*100/D9</f>
        <v>100</v>
      </c>
      <c r="E10" s="43">
        <f>E9*100/D9</f>
        <v>32</v>
      </c>
      <c r="F10" s="43">
        <f>F9*100/D9</f>
        <v>44</v>
      </c>
      <c r="G10" s="43">
        <f>G9*100/D9</f>
        <v>24</v>
      </c>
      <c r="H10" s="43">
        <f>H9*100/D9</f>
        <v>36</v>
      </c>
      <c r="I10" s="43">
        <f>I9*100/D9</f>
        <v>40</v>
      </c>
      <c r="J10" s="43">
        <f>J9*100/D9</f>
        <v>24</v>
      </c>
      <c r="K10" s="43">
        <f>K9*100/D9</f>
        <v>20</v>
      </c>
      <c r="L10" s="43">
        <f>L9*100/D9</f>
        <v>48</v>
      </c>
      <c r="M10" s="43">
        <f>M9*100/D9</f>
        <v>32</v>
      </c>
      <c r="N10" s="43">
        <f>N9*100/D9</f>
        <v>32</v>
      </c>
      <c r="O10" s="43">
        <f>O9*100/D9</f>
        <v>40</v>
      </c>
      <c r="P10" s="43">
        <f>P9*100/D9</f>
        <v>28</v>
      </c>
      <c r="Q10" s="43">
        <f>Q9*100/D9</f>
        <v>32</v>
      </c>
      <c r="R10" s="43">
        <f>R9*100/D9</f>
        <v>44</v>
      </c>
      <c r="S10" s="43">
        <f>S9*100/D9</f>
        <v>24</v>
      </c>
      <c r="T10" s="43">
        <f>T9*100/D9</f>
        <v>32</v>
      </c>
      <c r="U10" s="43">
        <f>U9*100/D9</f>
        <v>40</v>
      </c>
      <c r="V10" s="43">
        <f>V9*100/D9</f>
        <v>28</v>
      </c>
      <c r="W10" s="43">
        <f>W9*100/D9</f>
        <v>32</v>
      </c>
      <c r="X10" s="43">
        <f>X9*100/D9</f>
        <v>40</v>
      </c>
      <c r="Y10" s="43">
        <f>Y9*100/D9</f>
        <v>28</v>
      </c>
      <c r="Z10" s="43">
        <f>Z9*100/D9</f>
        <v>32</v>
      </c>
      <c r="AA10" s="43">
        <f>AA9*100/D9</f>
        <v>44</v>
      </c>
      <c r="AB10" s="43">
        <f>AB9*100/D9</f>
        <v>24</v>
      </c>
      <c r="AC10" s="43">
        <f>AC9*100/D9</f>
        <v>32</v>
      </c>
      <c r="AD10" s="43">
        <f>AD9*100/D9</f>
        <v>40</v>
      </c>
      <c r="AE10" s="43">
        <f>AE9*100/D9</f>
        <v>28</v>
      </c>
      <c r="AF10" s="43">
        <f>AF9*100/D9</f>
        <v>32</v>
      </c>
      <c r="AG10" s="43">
        <f>AG9*100/D9</f>
        <v>40</v>
      </c>
      <c r="AH10" s="43">
        <f>AH9*100/D9</f>
        <v>28</v>
      </c>
      <c r="AI10" s="43">
        <f>AI9*100/D9</f>
        <v>36</v>
      </c>
      <c r="AJ10" s="43">
        <f>AJ9*100/D9</f>
        <v>40</v>
      </c>
      <c r="AK10" s="43">
        <f>AK9*100/D9</f>
        <v>24</v>
      </c>
      <c r="AL10" s="43">
        <f>AL9*100/D9</f>
        <v>32</v>
      </c>
      <c r="AM10" s="43">
        <f>AM9*100/D9</f>
        <v>40</v>
      </c>
      <c r="AN10" s="43">
        <f>AN9*100/D9</f>
        <v>28</v>
      </c>
    </row>
    <row r="12" spans="1:40" x14ac:dyDescent="0.3">
      <c r="H12" s="60">
        <v>8</v>
      </c>
      <c r="I12" s="60">
        <v>11</v>
      </c>
      <c r="J12" s="60">
        <v>6</v>
      </c>
      <c r="W12" s="60">
        <v>8</v>
      </c>
      <c r="X12" s="60">
        <v>10</v>
      </c>
      <c r="Y12" s="60">
        <v>7</v>
      </c>
    </row>
  </sheetData>
  <mergeCells count="32">
    <mergeCell ref="B3:F3"/>
    <mergeCell ref="H3:M3"/>
    <mergeCell ref="H4:M4"/>
    <mergeCell ref="F6:F7"/>
    <mergeCell ref="E6:E7"/>
    <mergeCell ref="G6:G7"/>
    <mergeCell ref="H5:S5"/>
    <mergeCell ref="Q6:S6"/>
    <mergeCell ref="N6:P6"/>
    <mergeCell ref="K6:M6"/>
    <mergeCell ref="H6:J6"/>
    <mergeCell ref="AI6:AK6"/>
    <mergeCell ref="W6:Y6"/>
    <mergeCell ref="Z6:AB6"/>
    <mergeCell ref="AC6:AE6"/>
    <mergeCell ref="AF6:AH6"/>
    <mergeCell ref="A10:C10"/>
    <mergeCell ref="AL5:AN5"/>
    <mergeCell ref="A9:C9"/>
    <mergeCell ref="A5:A7"/>
    <mergeCell ref="B5:B7"/>
    <mergeCell ref="C5:C7"/>
    <mergeCell ref="D5:D7"/>
    <mergeCell ref="E5:G5"/>
    <mergeCell ref="T5:V5"/>
    <mergeCell ref="W5:AK5"/>
    <mergeCell ref="AL6:AL7"/>
    <mergeCell ref="AM6:AM7"/>
    <mergeCell ref="AN6:AN7"/>
    <mergeCell ref="T6:T7"/>
    <mergeCell ref="U6:U7"/>
    <mergeCell ref="V6:V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"/>
  <sheetViews>
    <sheetView tabSelected="1" topLeftCell="E5" zoomScaleNormal="100" workbookViewId="0">
      <selection activeCell="U14" sqref="U14"/>
    </sheetView>
  </sheetViews>
  <sheetFormatPr defaultRowHeight="14.4" x14ac:dyDescent="0.3"/>
  <cols>
    <col min="1" max="1" width="19.33203125" customWidth="1"/>
    <col min="2" max="2" width="9.5546875" bestFit="1" customWidth="1"/>
    <col min="3" max="23" width="8.44140625" style="32" customWidth="1"/>
  </cols>
  <sheetData>
    <row r="1" spans="1:33" x14ac:dyDescent="0.3">
      <c r="N1" s="116"/>
      <c r="O1" s="116"/>
      <c r="V1" s="120" t="s">
        <v>16</v>
      </c>
      <c r="W1" s="120"/>
    </row>
    <row r="2" spans="1:33" s="28" customFormat="1" ht="15.6" x14ac:dyDescent="0.3">
      <c r="A2" s="12" t="s">
        <v>26</v>
      </c>
      <c r="C2" s="33"/>
      <c r="D2" s="34"/>
      <c r="E2" s="34"/>
      <c r="F2" s="33"/>
      <c r="G2" s="33"/>
      <c r="H2" s="12" t="s">
        <v>31</v>
      </c>
      <c r="I2" s="35"/>
      <c r="J2" s="35"/>
      <c r="K2" s="35"/>
      <c r="L2" s="35"/>
      <c r="M2" s="36"/>
      <c r="N2" s="36"/>
      <c r="O2" s="33"/>
      <c r="P2" s="33"/>
      <c r="Q2" s="33"/>
      <c r="R2" s="33"/>
      <c r="S2" s="33"/>
      <c r="T2" s="33"/>
      <c r="U2" s="33"/>
      <c r="V2" s="33"/>
      <c r="W2" s="33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s="28" customFormat="1" ht="15.6" x14ac:dyDescent="0.3">
      <c r="A3" s="1"/>
      <c r="B3" s="67" t="s">
        <v>32</v>
      </c>
      <c r="C3" s="67"/>
      <c r="D3" s="67"/>
      <c r="E3" s="67"/>
      <c r="F3" s="67"/>
      <c r="G3" s="34"/>
      <c r="H3" s="86" t="s">
        <v>33</v>
      </c>
      <c r="I3" s="86"/>
      <c r="J3" s="86"/>
      <c r="K3" s="86"/>
      <c r="L3" s="86"/>
      <c r="M3" s="86"/>
      <c r="N3" s="36"/>
      <c r="O3" s="36"/>
      <c r="P3" s="36"/>
      <c r="Q3" s="33"/>
      <c r="R3" s="33"/>
      <c r="S3" s="33"/>
      <c r="T3" s="33"/>
      <c r="U3" s="33"/>
      <c r="V3" s="33"/>
      <c r="W3" s="33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28" customFormat="1" ht="15.6" x14ac:dyDescent="0.3">
      <c r="C4" s="33"/>
      <c r="D4" s="36"/>
      <c r="E4" s="36"/>
      <c r="F4" s="33"/>
      <c r="G4" s="33"/>
      <c r="H4" s="87" t="s">
        <v>29</v>
      </c>
      <c r="I4" s="87"/>
      <c r="J4" s="87"/>
      <c r="K4" s="87"/>
      <c r="L4" s="87"/>
      <c r="M4" s="87"/>
      <c r="N4" s="36"/>
      <c r="O4" s="36"/>
      <c r="P4" s="36"/>
      <c r="Q4" s="33"/>
      <c r="R4" s="33"/>
      <c r="S4" s="33"/>
      <c r="T4" s="33"/>
      <c r="U4" s="33"/>
      <c r="V4" s="33"/>
      <c r="W4" s="33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7" customFormat="1" ht="32.25" customHeight="1" x14ac:dyDescent="0.3">
      <c r="A5" s="118" t="s">
        <v>28</v>
      </c>
      <c r="B5" s="74" t="s">
        <v>12</v>
      </c>
      <c r="C5" s="117" t="s">
        <v>4</v>
      </c>
      <c r="D5" s="117"/>
      <c r="E5" s="117"/>
      <c r="F5" s="117" t="s">
        <v>7</v>
      </c>
      <c r="G5" s="117"/>
      <c r="H5" s="117"/>
      <c r="I5" s="117" t="s">
        <v>5</v>
      </c>
      <c r="J5" s="117"/>
      <c r="K5" s="117"/>
      <c r="L5" s="117" t="s">
        <v>8</v>
      </c>
      <c r="M5" s="117"/>
      <c r="N5" s="117"/>
      <c r="O5" s="117" t="s">
        <v>6</v>
      </c>
      <c r="P5" s="117"/>
      <c r="Q5" s="117"/>
      <c r="R5" s="83" t="s">
        <v>27</v>
      </c>
      <c r="S5" s="83"/>
      <c r="T5" s="83"/>
      <c r="U5" s="83"/>
      <c r="V5" s="83"/>
      <c r="W5" s="83"/>
    </row>
    <row r="6" spans="1:33" ht="78" x14ac:dyDescent="0.3">
      <c r="A6" s="119"/>
      <c r="B6" s="74"/>
      <c r="C6" s="37" t="s">
        <v>13</v>
      </c>
      <c r="D6" s="37" t="s">
        <v>14</v>
      </c>
      <c r="E6" s="37" t="s">
        <v>15</v>
      </c>
      <c r="F6" s="37" t="s">
        <v>13</v>
      </c>
      <c r="G6" s="37" t="s">
        <v>14</v>
      </c>
      <c r="H6" s="37" t="s">
        <v>15</v>
      </c>
      <c r="I6" s="37" t="s">
        <v>13</v>
      </c>
      <c r="J6" s="37" t="s">
        <v>14</v>
      </c>
      <c r="K6" s="37" t="s">
        <v>15</v>
      </c>
      <c r="L6" s="37" t="s">
        <v>13</v>
      </c>
      <c r="M6" s="37" t="s">
        <v>14</v>
      </c>
      <c r="N6" s="37" t="s">
        <v>15</v>
      </c>
      <c r="O6" s="37" t="s">
        <v>13</v>
      </c>
      <c r="P6" s="37" t="s">
        <v>14</v>
      </c>
      <c r="Q6" s="37" t="s">
        <v>15</v>
      </c>
      <c r="R6" s="37" t="s">
        <v>13</v>
      </c>
      <c r="S6" s="37" t="s">
        <v>10</v>
      </c>
      <c r="T6" s="37" t="s">
        <v>14</v>
      </c>
      <c r="U6" s="38" t="s">
        <v>10</v>
      </c>
      <c r="V6" s="37" t="s">
        <v>15</v>
      </c>
      <c r="W6" s="37" t="s">
        <v>10</v>
      </c>
    </row>
    <row r="7" spans="1:33" ht="31.2" x14ac:dyDescent="0.3">
      <c r="A7" s="58" t="s">
        <v>34</v>
      </c>
      <c r="B7" s="18">
        <v>25</v>
      </c>
      <c r="C7" s="50">
        <v>9</v>
      </c>
      <c r="D7" s="50">
        <v>10</v>
      </c>
      <c r="E7" s="50">
        <v>6</v>
      </c>
      <c r="F7" s="50">
        <v>5</v>
      </c>
      <c r="G7" s="50">
        <v>10</v>
      </c>
      <c r="H7" s="50">
        <v>10</v>
      </c>
      <c r="I7" s="50">
        <v>6</v>
      </c>
      <c r="J7" s="50">
        <v>10</v>
      </c>
      <c r="K7" s="50">
        <v>9</v>
      </c>
      <c r="L7" s="50">
        <v>6</v>
      </c>
      <c r="M7" s="50">
        <v>9</v>
      </c>
      <c r="N7" s="50">
        <v>10</v>
      </c>
      <c r="O7" s="50">
        <v>8</v>
      </c>
      <c r="P7" s="50">
        <v>10</v>
      </c>
      <c r="Q7" s="50">
        <v>7</v>
      </c>
      <c r="R7" s="41">
        <f t="shared" ref="R7:R9" si="0">(C7+F7+I7+L7+O7)/5</f>
        <v>6.8</v>
      </c>
      <c r="S7" s="42">
        <v>28</v>
      </c>
      <c r="T7" s="43">
        <f t="shared" ref="T7:T9" si="1">(D7+G7+J7+M7+P7)/5</f>
        <v>9.8000000000000007</v>
      </c>
      <c r="U7" s="42">
        <v>40</v>
      </c>
      <c r="V7" s="44">
        <f t="shared" ref="V7:V9" si="2">(E7+H7+K7+N7+Q7)/5</f>
        <v>8.4</v>
      </c>
      <c r="W7" s="42">
        <v>32</v>
      </c>
    </row>
    <row r="8" spans="1:33" ht="31.2" x14ac:dyDescent="0.3">
      <c r="A8" s="58" t="s">
        <v>35</v>
      </c>
      <c r="B8" s="5">
        <v>25</v>
      </c>
      <c r="C8" s="23">
        <v>8</v>
      </c>
      <c r="D8" s="23">
        <v>9</v>
      </c>
      <c r="E8" s="23">
        <v>8</v>
      </c>
      <c r="F8" s="62">
        <v>7</v>
      </c>
      <c r="G8" s="62">
        <v>10</v>
      </c>
      <c r="H8" s="62">
        <v>8</v>
      </c>
      <c r="I8" s="54">
        <v>6</v>
      </c>
      <c r="J8" s="54">
        <v>10</v>
      </c>
      <c r="K8" s="54">
        <v>9</v>
      </c>
      <c r="L8" s="54">
        <v>10</v>
      </c>
      <c r="M8" s="54">
        <v>8</v>
      </c>
      <c r="N8" s="54">
        <v>7</v>
      </c>
      <c r="O8" s="39">
        <v>10</v>
      </c>
      <c r="P8" s="39">
        <v>8</v>
      </c>
      <c r="Q8" s="39">
        <v>7</v>
      </c>
      <c r="R8" s="41">
        <f t="shared" si="0"/>
        <v>8.1999999999999993</v>
      </c>
      <c r="S8" s="42">
        <v>32</v>
      </c>
      <c r="T8" s="43">
        <f t="shared" si="1"/>
        <v>9</v>
      </c>
      <c r="U8" s="42">
        <f t="shared" ref="U7:U9" si="3">T8*100/B8</f>
        <v>36</v>
      </c>
      <c r="V8" s="44">
        <f t="shared" si="2"/>
        <v>7.8</v>
      </c>
      <c r="W8" s="42">
        <v>32</v>
      </c>
    </row>
    <row r="9" spans="1:33" ht="31.2" x14ac:dyDescent="0.3">
      <c r="A9" s="58" t="s">
        <v>36</v>
      </c>
      <c r="B9" s="18">
        <v>25</v>
      </c>
      <c r="C9" s="55">
        <v>8</v>
      </c>
      <c r="D9" s="55">
        <v>11</v>
      </c>
      <c r="E9" s="55">
        <v>6</v>
      </c>
      <c r="F9" s="40">
        <v>8</v>
      </c>
      <c r="G9" s="40">
        <v>11</v>
      </c>
      <c r="H9" s="40">
        <v>6</v>
      </c>
      <c r="I9" s="39">
        <v>8</v>
      </c>
      <c r="J9" s="39">
        <v>10</v>
      </c>
      <c r="K9" s="39">
        <v>7</v>
      </c>
      <c r="L9" s="45">
        <v>8</v>
      </c>
      <c r="M9" s="45">
        <v>10</v>
      </c>
      <c r="N9" s="45">
        <v>7</v>
      </c>
      <c r="O9" s="45">
        <v>8</v>
      </c>
      <c r="P9" s="45">
        <v>10</v>
      </c>
      <c r="Q9" s="45">
        <v>7</v>
      </c>
      <c r="R9" s="41">
        <f t="shared" si="0"/>
        <v>8</v>
      </c>
      <c r="S9" s="42">
        <f t="shared" ref="S7:S9" si="4">R9*100/B9</f>
        <v>32</v>
      </c>
      <c r="T9" s="43">
        <f t="shared" si="1"/>
        <v>10.4</v>
      </c>
      <c r="U9" s="42">
        <v>40</v>
      </c>
      <c r="V9" s="44">
        <f t="shared" si="2"/>
        <v>6.6</v>
      </c>
      <c r="W9" s="42">
        <v>28</v>
      </c>
    </row>
    <row r="10" spans="1:33" ht="15.6" x14ac:dyDescent="0.3">
      <c r="A10" s="20" t="s">
        <v>1</v>
      </c>
      <c r="B10" s="5">
        <f t="shared" ref="B10:Q10" si="5">SUM(B6:B9)</f>
        <v>75</v>
      </c>
      <c r="C10" s="39">
        <f t="shared" si="5"/>
        <v>25</v>
      </c>
      <c r="D10" s="39">
        <f t="shared" si="5"/>
        <v>30</v>
      </c>
      <c r="E10" s="39">
        <f t="shared" si="5"/>
        <v>20</v>
      </c>
      <c r="F10" s="40">
        <f t="shared" si="5"/>
        <v>20</v>
      </c>
      <c r="G10" s="40">
        <f t="shared" si="5"/>
        <v>31</v>
      </c>
      <c r="H10" s="40">
        <f t="shared" si="5"/>
        <v>24</v>
      </c>
      <c r="I10" s="39">
        <f t="shared" si="5"/>
        <v>20</v>
      </c>
      <c r="J10" s="39">
        <f t="shared" si="5"/>
        <v>30</v>
      </c>
      <c r="K10" s="39">
        <f t="shared" si="5"/>
        <v>25</v>
      </c>
      <c r="L10" s="40">
        <f t="shared" si="5"/>
        <v>24</v>
      </c>
      <c r="M10" s="40">
        <f t="shared" si="5"/>
        <v>27</v>
      </c>
      <c r="N10" s="39">
        <f t="shared" si="5"/>
        <v>24</v>
      </c>
      <c r="O10" s="39">
        <f t="shared" si="5"/>
        <v>26</v>
      </c>
      <c r="P10" s="39">
        <f t="shared" si="5"/>
        <v>28</v>
      </c>
      <c r="Q10" s="39">
        <f t="shared" si="5"/>
        <v>21</v>
      </c>
      <c r="R10" s="64">
        <v>23</v>
      </c>
      <c r="S10" s="46"/>
      <c r="T10" s="65">
        <v>29</v>
      </c>
      <c r="U10" s="43"/>
      <c r="V10" s="66">
        <v>23</v>
      </c>
      <c r="W10" s="46"/>
    </row>
    <row r="11" spans="1:33" ht="17.25" customHeight="1" x14ac:dyDescent="0.3">
      <c r="A11" s="8" t="s">
        <v>11</v>
      </c>
      <c r="B11" s="6">
        <f>B10*100/B10</f>
        <v>100</v>
      </c>
      <c r="C11" s="40">
        <f>C10*100/B10</f>
        <v>33.333333333333336</v>
      </c>
      <c r="D11" s="40">
        <f>D10*100/B10</f>
        <v>40</v>
      </c>
      <c r="E11" s="40">
        <f>E10*100/B10</f>
        <v>26.666666666666668</v>
      </c>
      <c r="F11" s="40">
        <f>F10*100/B10</f>
        <v>26.666666666666668</v>
      </c>
      <c r="G11" s="40">
        <f>G10*100/B10</f>
        <v>41.333333333333336</v>
      </c>
      <c r="H11" s="40">
        <f>H10*100/B10</f>
        <v>32</v>
      </c>
      <c r="I11" s="40">
        <f>I10*100/B10</f>
        <v>26.666666666666668</v>
      </c>
      <c r="J11" s="40">
        <f>J10*100/B10</f>
        <v>40</v>
      </c>
      <c r="K11" s="40">
        <f>K10*100/B10</f>
        <v>33.333333333333336</v>
      </c>
      <c r="L11" s="40">
        <f>L10*100/B10</f>
        <v>32</v>
      </c>
      <c r="M11" s="40">
        <f>M10*100/B10</f>
        <v>36</v>
      </c>
      <c r="N11" s="40">
        <f>N10*100/B10</f>
        <v>32</v>
      </c>
      <c r="O11" s="40">
        <f>O10*100/B10</f>
        <v>34.666666666666664</v>
      </c>
      <c r="P11" s="40">
        <f>P10*100/B10</f>
        <v>37.333333333333336</v>
      </c>
      <c r="Q11" s="40">
        <f>Q10*100/B10</f>
        <v>28</v>
      </c>
      <c r="R11" s="63">
        <v>31</v>
      </c>
      <c r="S11" s="48"/>
      <c r="T11" s="63">
        <v>38</v>
      </c>
      <c r="U11" s="48"/>
      <c r="V11" s="63">
        <v>31</v>
      </c>
      <c r="W11" s="48"/>
    </row>
    <row r="12" spans="1:33" ht="15.6" x14ac:dyDescent="0.3">
      <c r="A12" s="1"/>
      <c r="B12" s="1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33" ht="15.6" x14ac:dyDescent="0.3">
      <c r="A13" s="1"/>
      <c r="B13" s="1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W13"/>
    </row>
    <row r="14" spans="1:33" ht="15.6" x14ac:dyDescent="0.3">
      <c r="A14" s="1"/>
      <c r="B14" s="1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W14"/>
    </row>
    <row r="15" spans="1:33" ht="15.6" x14ac:dyDescent="0.3">
      <c r="A15" s="1"/>
      <c r="B15" s="1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W15"/>
    </row>
    <row r="16" spans="1:33" ht="15.6" x14ac:dyDescent="0.3">
      <c r="A16" s="1"/>
      <c r="B16" s="1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 spans="1:17" ht="15.6" x14ac:dyDescent="0.3">
      <c r="A17" s="1"/>
      <c r="B17" s="1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 spans="1:17" ht="15.6" x14ac:dyDescent="0.3">
      <c r="A18" s="1"/>
      <c r="B18" s="1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spans="1:17" ht="15.6" x14ac:dyDescent="0.3">
      <c r="A19" s="1"/>
      <c r="B19" s="1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 spans="1:17" ht="15.6" x14ac:dyDescent="0.3">
      <c r="A20" s="1"/>
      <c r="B20" s="1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spans="1:17" ht="15.6" x14ac:dyDescent="0.3">
      <c r="A21" s="1"/>
      <c r="B21" s="1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spans="1:17" ht="15.6" x14ac:dyDescent="0.3">
      <c r="A22" s="1"/>
      <c r="B22" s="1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</row>
    <row r="23" spans="1:17" ht="15.6" x14ac:dyDescent="0.3">
      <c r="A23" s="1"/>
      <c r="B23" s="1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spans="1:17" ht="15.6" x14ac:dyDescent="0.3">
      <c r="A24" s="1"/>
      <c r="B24" s="1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1:17" ht="15.6" x14ac:dyDescent="0.3">
      <c r="A25" s="1"/>
      <c r="B25" s="1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spans="1:17" ht="15.6" x14ac:dyDescent="0.3">
      <c r="A26" s="1"/>
      <c r="B26" s="1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1:17" ht="15.6" x14ac:dyDescent="0.3">
      <c r="A27" s="1"/>
      <c r="B27" s="1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</row>
    <row r="28" spans="1:17" ht="15.6" x14ac:dyDescent="0.3">
      <c r="A28" s="2"/>
      <c r="B28" s="1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7" ht="15.6" x14ac:dyDescent="0.3">
      <c r="A29" s="3"/>
      <c r="B29" s="1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</sheetData>
  <mergeCells count="13">
    <mergeCell ref="R5:W5"/>
    <mergeCell ref="N1:O1"/>
    <mergeCell ref="O5:Q5"/>
    <mergeCell ref="A5:A6"/>
    <mergeCell ref="B5:B6"/>
    <mergeCell ref="C5:E5"/>
    <mergeCell ref="F5:H5"/>
    <mergeCell ref="I5:K5"/>
    <mergeCell ref="L5:N5"/>
    <mergeCell ref="V1:W1"/>
    <mergeCell ref="B3:F3"/>
    <mergeCell ref="H3:M3"/>
    <mergeCell ref="H4:M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«Бүлдіршін» ортаңғы тобы</vt:lpstr>
      <vt:lpstr>«Айгөлек» ересек тобы</vt:lpstr>
      <vt:lpstr>«Қарлығаш» 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2026-03-03T11:46:46Z</dcterms:modified>
</cp:coreProperties>
</file>